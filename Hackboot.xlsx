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ésumé de l’exportation" sheetId="1" r:id="rId5"/>
    <sheet name="SAMPLE - Monthly Profit &amp; Loss " sheetId="2" r:id="rId6"/>
    <sheet name="SAMPLE - Monthly Profit &amp; Loss-" sheetId="3" r:id="rId7"/>
    <sheet name="SAMPLE - Profit &amp; Loss YTD - Ta" sheetId="4" r:id="rId8"/>
    <sheet name="BLANK - Monthly Profit &amp; Loss -" sheetId="5" r:id="rId9"/>
    <sheet name="BLANK - Profit &amp; Loss YTD - Tab" sheetId="6" r:id="rId10"/>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<sst xmlns="http://schemas.openxmlformats.org/spreadsheetml/2006/main" uniqueCount="216">
  <si>
    <t>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</si>
  <si>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Nom de la feuille Numbers</t>
  </si>
  <si>
    <t>Nom du tableau Numbers</t>
  </si>
  <si>
    <t>Nom de la feuille de calcul Excel</t>
  </si>
  <si>
    <t>SAMPLE - Monthly Profit &amp; Loss</t>
  </si>
  <si>
    <t>Table 1</t>
  </si>
  <si>
    <t xml:space="preserve">SAMPLE - Monthly Profit &amp; Loss </t>
  </si>
  <si>
    <t xml:space="preserve">MONTHLY PROFIT AND LOSS </t>
  </si>
  <si>
    <t>COMPANY NAME</t>
  </si>
  <si>
    <t>Hackboot</t>
  </si>
  <si>
    <t>Last Update and verification</t>
  </si>
  <si>
    <t>TREND</t>
  </si>
  <si>
    <t>JANUARY</t>
  </si>
  <si>
    <t>FEBRUARY</t>
  </si>
  <si>
    <t>MARCH</t>
  </si>
  <si>
    <t>APRIL</t>
  </si>
  <si>
    <t>MAY</t>
  </si>
  <si>
    <t>JUNE</t>
  </si>
  <si>
    <t>JULY</t>
  </si>
  <si>
    <t>AUGUST</t>
  </si>
  <si>
    <t>SEPTEMBER</t>
  </si>
  <si>
    <t>OCTOBER</t>
  </si>
  <si>
    <t>NOVEMBER</t>
  </si>
  <si>
    <t>DECEMBER</t>
  </si>
  <si>
    <t>YTD</t>
  </si>
  <si>
    <t>GROSS PROFIT</t>
  </si>
  <si>
    <t>TOTAL EXPENSES</t>
  </si>
  <si>
    <t>PROFIT / LOSS</t>
  </si>
  <si>
    <t>Clients</t>
  </si>
  <si>
    <t>Pack Essentiel</t>
  </si>
  <si>
    <t>Pack Avantage</t>
  </si>
  <si>
    <t>Pack Élite</t>
  </si>
  <si>
    <t>VM Clash Royal</t>
  </si>
  <si>
    <t>VM Call Of Duty</t>
  </si>
  <si>
    <t>VM Overwatch 2</t>
  </si>
  <si>
    <t>TOTAUX</t>
  </si>
  <si>
    <t>Enter the amounts for each month below. YTD amounts, YTD tab, graph, and trend lines will populate automatically.</t>
  </si>
  <si>
    <t>REVENUE</t>
  </si>
  <si>
    <t>TOTAL REVENUE</t>
  </si>
  <si>
    <t>REDUCTIONS</t>
  </si>
  <si>
    <t>Less Sales Returns</t>
  </si>
  <si>
    <t>Less Sales Discounts</t>
  </si>
  <si>
    <t>Less Cost of Goods Sold</t>
  </si>
  <si>
    <t>TOTAL REDUCTIONS</t>
  </si>
  <si>
    <t>GROSS PROFIT  |  SALES MINUS REDUCTIONS</t>
  </si>
  <si>
    <t>EXPENSES</t>
  </si>
  <si>
    <t>EMPLOYEE</t>
  </si>
  <si>
    <t>Luf</t>
  </si>
  <si>
    <t>Freelance</t>
  </si>
  <si>
    <t>Gengis</t>
  </si>
  <si>
    <t>Other</t>
  </si>
  <si>
    <t>TOTAL EMPLOYEE AND LABOR EXPENSE</t>
  </si>
  <si>
    <t>Software</t>
  </si>
  <si>
    <t>AWS - Clash Royal</t>
  </si>
  <si>
    <t>t3.large</t>
  </si>
  <si>
    <t>AWS - Overwatch 2</t>
  </si>
  <si>
    <t>g4dn.2xlarge</t>
  </si>
  <si>
    <t>AWS - Call Of Duty</t>
  </si>
  <si>
    <t>LMS</t>
  </si>
  <si>
    <t>sub constant</t>
  </si>
  <si>
    <t>BANKING AND FINANCE</t>
  </si>
  <si>
    <t>Bank Fees</t>
  </si>
  <si>
    <t>Bad Debts</t>
  </si>
  <si>
    <t>Interest Paid</t>
  </si>
  <si>
    <t>Insurance</t>
  </si>
  <si>
    <t>Loan Fees</t>
  </si>
  <si>
    <t>TOTAL BANKING AND FINANCE</t>
  </si>
  <si>
    <t>GENERAL BUSINESS</t>
  </si>
  <si>
    <t>AWS -</t>
  </si>
  <si>
    <t>20/user</t>
  </si>
  <si>
    <t>Maintenance and Repairs - OVH Cloud</t>
  </si>
  <si>
    <t>Telecommunication</t>
  </si>
  <si>
    <t>90/user</t>
  </si>
  <si>
    <t>Advertising, Marketing, and Promotions</t>
  </si>
  <si>
    <t>Web Hosting</t>
  </si>
  <si>
    <t>LMS Manager</t>
  </si>
  <si>
    <t>Office Supplies</t>
  </si>
  <si>
    <t>Professional Dues</t>
  </si>
  <si>
    <t>Subscriptions</t>
  </si>
  <si>
    <t>Freight</t>
  </si>
  <si>
    <t>Postage and Shipping</t>
  </si>
  <si>
    <t>Depreciation and Amortization</t>
  </si>
  <si>
    <t>Travel</t>
  </si>
  <si>
    <t>Technical Licenses</t>
  </si>
  <si>
    <t>Meals and Entertainment</t>
  </si>
  <si>
    <t>Patent Fees</t>
  </si>
  <si>
    <t>Losses from Legal Actions</t>
  </si>
  <si>
    <t>TOTAL GENERAL BUSINESS</t>
  </si>
  <si>
    <t>VEHICLE EXPENSE</t>
  </si>
  <si>
    <t>Gas</t>
  </si>
  <si>
    <t>Maintenance and Repairs</t>
  </si>
  <si>
    <t>Licensing</t>
  </si>
  <si>
    <t>TOTAL VEHICLE EXPENSE</t>
  </si>
  <si>
    <t>TAXES (not calculated)</t>
  </si>
  <si>
    <t>TVA</t>
  </si>
  <si>
    <t>Disbursement fees</t>
  </si>
  <si>
    <t>Property Tax</t>
  </si>
  <si>
    <t>B&amp;O Tax</t>
  </si>
  <si>
    <t>TOTAL TAXES</t>
  </si>
  <si>
    <t>SAMPLE - Monthly Profit &amp; Loss-1</t>
  </si>
  <si>
    <t>SAMPLE - Monthly Profit &amp; Loss-</t>
  </si>
  <si>
    <t>FormaCash</t>
  </si>
  <si>
    <t xml:space="preserve"> Développement web</t>
  </si>
  <si>
    <t>No-Code</t>
  </si>
  <si>
    <t>Développement Web et Mobile</t>
  </si>
  <si>
    <t>No Code</t>
  </si>
  <si>
    <t>Other Income 3</t>
  </si>
  <si>
    <t>Other Income 4</t>
  </si>
  <si>
    <t>Other Income 5</t>
  </si>
  <si>
    <t>Other Income 6</t>
  </si>
  <si>
    <t>Other Income 7</t>
  </si>
  <si>
    <t>Other Income 8</t>
  </si>
  <si>
    <t>Josselin MORELLE</t>
  </si>
  <si>
    <t>Développement web</t>
  </si>
  <si>
    <t>Zahra GUERBI</t>
  </si>
  <si>
    <t>Gaylor LOCHE</t>
  </si>
  <si>
    <t>Christophe Badidou</t>
  </si>
  <si>
    <t>Emmanuel Gutman</t>
  </si>
  <si>
    <t>Séverine Pereira</t>
  </si>
  <si>
    <t>Tom Charmasson</t>
  </si>
  <si>
    <t>Lucas Lengrand</t>
  </si>
  <si>
    <t>Jira Zer</t>
  </si>
  <si>
    <t>Conseillère évolution</t>
  </si>
  <si>
    <t>Kelian Halleray</t>
  </si>
  <si>
    <t>Mathis Duperray</t>
  </si>
  <si>
    <t>Kahina Angibert</t>
  </si>
  <si>
    <t>Natacha Rippert</t>
  </si>
  <si>
    <t>Meheni Belhoul</t>
  </si>
  <si>
    <t>Mikael Tribet</t>
  </si>
  <si>
    <t>AWS</t>
  </si>
  <si>
    <t>1800/users</t>
  </si>
  <si>
    <t>WebStorm</t>
  </si>
  <si>
    <t>600/users</t>
  </si>
  <si>
    <t>Adobe XD</t>
  </si>
  <si>
    <t>120/users</t>
  </si>
  <si>
    <t>Zoom Pro</t>
  </si>
  <si>
    <t>SAMPLE - Profit &amp; Loss YTD</t>
  </si>
  <si>
    <t>SAMPLE - Profit &amp; Loss YTD - Ta</t>
  </si>
  <si>
    <t>SAMPLE PROFIT AND LOSS YTD</t>
  </si>
  <si>
    <r>
      <rPr>
        <sz val="11"/>
        <color indexed="8"/>
        <rFont val="Century Gothic"/>
      </rPr>
      <t>Hackboot</t>
    </r>
  </si>
  <si>
    <r>
      <rPr>
        <b val="1"/>
        <sz val="10"/>
        <color indexed="14"/>
        <rFont val="Century Gothic"/>
      </rPr>
      <t>YTD</t>
    </r>
  </si>
  <si>
    <r>
      <rPr>
        <sz val="10"/>
        <color indexed="8"/>
        <rFont val="Century Gothic"/>
      </rPr>
      <t>Pack Essentiel</t>
    </r>
  </si>
  <si>
    <r>
      <rPr>
        <sz val="10"/>
        <color indexed="8"/>
        <rFont val="Century Gothic"/>
      </rPr>
      <t>Pack Avantage</t>
    </r>
  </si>
  <si>
    <r>
      <rPr>
        <sz val="10"/>
        <color indexed="8"/>
        <rFont val="Century Gothic"/>
      </rPr>
      <t>Pack Élite</t>
    </r>
  </si>
  <si>
    <r>
      <rPr>
        <sz val="10"/>
        <color indexed="8"/>
        <rFont val="Century Gothic"/>
      </rPr>
      <t>VM Clash Royal</t>
    </r>
  </si>
  <si>
    <r>
      <rPr>
        <sz val="10"/>
        <color indexed="8"/>
        <rFont val="Century Gothic"/>
      </rPr>
      <t>VM Call Of Duty</t>
    </r>
  </si>
  <si>
    <r>
      <rPr>
        <sz val="10"/>
        <color indexed="8"/>
        <rFont val="Century Gothic"/>
      </rPr>
      <t>VM Overwatch 2</t>
    </r>
  </si>
  <si>
    <t>Less sales returns</t>
  </si>
  <si>
    <t>Less sales discounts</t>
  </si>
  <si>
    <t>Less cost of goods sold</t>
  </si>
  <si>
    <t>EMPLOYEE AND LABOR</t>
  </si>
  <si>
    <r>
      <rPr>
        <sz val="10"/>
        <color indexed="8"/>
        <rFont val="Century Gothic"/>
      </rPr>
      <t>Luf</t>
    </r>
  </si>
  <si>
    <r>
      <rPr>
        <sz val="10"/>
        <color indexed="8"/>
        <rFont val="Century Gothic"/>
      </rPr>
      <t>Gengis</t>
    </r>
  </si>
  <si>
    <r>
      <rPr>
        <sz val="10"/>
        <color indexed="8"/>
        <rFont val="Century Gothic"/>
      </rPr>
      <t>Other</t>
    </r>
  </si>
  <si>
    <t>PROFESSIONAL SERVICES</t>
  </si>
  <si>
    <t>Outside Services</t>
  </si>
  <si>
    <t>Accounting</t>
  </si>
  <si>
    <t>Legal</t>
  </si>
  <si>
    <t>Computing Services</t>
  </si>
  <si>
    <t>Bank fees</t>
  </si>
  <si>
    <t>Bad debts</t>
  </si>
  <si>
    <t>Interest paid</t>
  </si>
  <si>
    <t>Loan fees</t>
  </si>
  <si>
    <t xml:space="preserve">Rent and Mortgage </t>
  </si>
  <si>
    <t>Maintenance and repairs</t>
  </si>
  <si>
    <t>Office supplies</t>
  </si>
  <si>
    <t>Utilities</t>
  </si>
  <si>
    <t>Advertising, marketing, and promotions</t>
  </si>
  <si>
    <t>Web hosting</t>
  </si>
  <si>
    <t>Professional dues</t>
  </si>
  <si>
    <t>Postage and shipping</t>
  </si>
  <si>
    <t>Depreciation and amortization</t>
  </si>
  <si>
    <t>Technical licenses</t>
  </si>
  <si>
    <t>Meals and entertainment</t>
  </si>
  <si>
    <t>Patent fees</t>
  </si>
  <si>
    <t>Losses from legal actions</t>
  </si>
  <si>
    <t>VEHICAL EXPENSE</t>
  </si>
  <si>
    <t>BLANK - Monthly Profit &amp; Loss</t>
  </si>
  <si>
    <t>BLANK - Monthly Profit &amp; Loss -</t>
  </si>
  <si>
    <t>MONTHLY PROFIT AND LOSS TEMPLATE</t>
  </si>
  <si>
    <t>TIME PERIOD REPRESENTED</t>
  </si>
  <si>
    <t>Income from Sales</t>
  </si>
  <si>
    <t>Adjustments to Earnings</t>
  </si>
  <si>
    <t>Sales of Assets</t>
  </si>
  <si>
    <t>Gains from Legal Actions</t>
  </si>
  <si>
    <t>Interest Received</t>
  </si>
  <si>
    <t>Other Income 1</t>
  </si>
  <si>
    <t>Other Income 2</t>
  </si>
  <si>
    <t>Salaries</t>
  </si>
  <si>
    <t>Wages</t>
  </si>
  <si>
    <t>Benefits</t>
  </si>
  <si>
    <t>Pension/Retirement</t>
  </si>
  <si>
    <t>Commissions</t>
  </si>
  <si>
    <t>Workers Comp</t>
  </si>
  <si>
    <t>Contract Labor</t>
  </si>
  <si>
    <t>Training</t>
  </si>
  <si>
    <t>TAXES</t>
  </si>
  <si>
    <t>Sales Tax</t>
  </si>
  <si>
    <t>BLANK - Profit &amp; Loss YTD</t>
  </si>
  <si>
    <t>BLANK - Profit &amp; Loss YTD - Tab</t>
  </si>
  <si>
    <t xml:space="preserve">Data on this tab will populate automatically. </t>
  </si>
  <si>
    <t>Income from sales</t>
  </si>
  <si>
    <t>Adjustments to earnings</t>
  </si>
  <si>
    <t>Sales of assets</t>
  </si>
  <si>
    <t>Gains from legal actions</t>
  </si>
  <si>
    <t>Interest received</t>
  </si>
  <si>
    <t>Other income 1</t>
  </si>
  <si>
    <t>Other income 2</t>
  </si>
  <si>
    <t>Other income 3</t>
  </si>
  <si>
    <t>Pension/retirement</t>
  </si>
  <si>
    <t>Workers comp</t>
  </si>
  <si>
    <t>Contract labor</t>
  </si>
  <si>
    <t>Outside services</t>
  </si>
  <si>
    <t>Sales tax</t>
  </si>
  <si>
    <t>Property tax</t>
  </si>
  <si>
    <t>B&amp;O tax</t>
  </si>
</sst>
</file>

<file path=xl/styles.xml><?xml version="1.0" encoding="utf-8"?>
<styleSheet xmlns="http://schemas.openxmlformats.org/spreadsheetml/2006/main">
  <numFmts count="9">
    <numFmt numFmtId="0" formatCode="General"/>
    <numFmt numFmtId="59" formatCode="d/m/yyyy"/>
    <numFmt numFmtId="60" formatCode="0.0%"/>
    <numFmt numFmtId="61" formatCode="_-[$€-2]* #,##0.00_-;_-[$€-2]* \(#,##0.00\)_-;_-[$€-2]* &quot;-&quot;??;_-@_-"/>
    <numFmt numFmtId="62" formatCode="[$€-2]0.00"/>
    <numFmt numFmtId="63" formatCode="&quot; &quot;[$$-409]* #,##0&quot; &quot;;&quot; &quot;[$$-409]* (#,##0);&quot; &quot;[$$-409]* &quot;-&quot;??&quot; &quot;"/>
    <numFmt numFmtId="64" formatCode="&quot; &quot;[$$-409]#,##0&quot; &quot;;&quot; &quot;[$$-409](#,##0);&quot; &quot;[$$-409]&quot;-&quot;??&quot; &quot;"/>
    <numFmt numFmtId="65" formatCode="dd/mm/yyyy"/>
    <numFmt numFmtId="66" formatCode="&quot; &quot;[$$-409]* #,##0.00&quot; &quot;;&quot; &quot;[$$-409]* (#,##0.00);&quot; &quot;[$$-409]* &quot;-&quot;??&quot; &quot;"/>
  </numFmts>
  <fonts count="24">
    <font>
      <sz val="11"/>
      <color indexed="8"/>
      <name val="Calibri"/>
    </font>
    <font>
      <sz val="12"/>
      <color indexed="8"/>
      <name val="Calibri"/>
    </font>
    <font>
      <sz val="14"/>
      <color indexed="8"/>
      <name val="Calibri"/>
    </font>
    <font>
      <sz val="11"/>
      <color indexed="8"/>
      <name val="Helvetica Neue"/>
    </font>
    <font>
      <u val="single"/>
      <sz val="12"/>
      <color indexed="11"/>
      <name val="Calibri"/>
    </font>
    <font>
      <sz val="15"/>
      <color indexed="8"/>
      <name val="Calibri"/>
    </font>
    <font>
      <b val="1"/>
      <sz val="22"/>
      <color indexed="13"/>
      <name val="Century Gothic"/>
    </font>
    <font>
      <b val="1"/>
      <sz val="20"/>
      <color indexed="16"/>
      <name val="Century Gothic"/>
    </font>
    <font>
      <sz val="12"/>
      <color indexed="8"/>
      <name val="Arial"/>
    </font>
    <font>
      <b val="1"/>
      <sz val="10"/>
      <color indexed="14"/>
      <name val="Century Gothic"/>
    </font>
    <font>
      <i val="1"/>
      <sz val="10"/>
      <color indexed="8"/>
      <name val="Century Gothic"/>
    </font>
    <font>
      <b val="1"/>
      <sz val="12"/>
      <color indexed="8"/>
      <name val="Arial"/>
    </font>
    <font>
      <sz val="14"/>
      <color indexed="8"/>
      <name val="Century Gothic"/>
    </font>
    <font>
      <b val="1"/>
      <sz val="10"/>
      <color indexed="8"/>
      <name val="Century Gothic"/>
    </font>
    <font>
      <sz val="10"/>
      <color indexed="8"/>
      <name val="Century Gothic"/>
    </font>
    <font>
      <b val="1"/>
      <sz val="16"/>
      <color indexed="14"/>
      <name val="Century Gothic"/>
    </font>
    <font>
      <b val="1"/>
      <sz val="12"/>
      <color indexed="14"/>
      <name val="Century Gothic"/>
    </font>
    <font>
      <sz val="11"/>
      <color indexed="8"/>
      <name val="Century Gothic"/>
    </font>
    <font>
      <sz val="10"/>
      <color indexed="25"/>
      <name val="Century Gothic"/>
    </font>
    <font>
      <b val="1"/>
      <sz val="12"/>
      <color indexed="8"/>
      <name val="Calibri"/>
    </font>
    <font>
      <sz val="10"/>
      <color indexed="8"/>
      <name val="Calibri"/>
    </font>
    <font>
      <sz val="10"/>
      <color indexed="13"/>
      <name val="Century Gothic"/>
    </font>
    <font>
      <sz val="11"/>
      <color indexed="8"/>
      <name val="Arial"/>
    </font>
    <font>
      <sz val="14"/>
      <color indexed="16"/>
      <name val="Century Gothic"/>
    </font>
  </fonts>
  <fills count="14">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s>
  <borders count="25">
    <border>
      <left/>
      <right/>
      <top/>
      <bottom/>
      <diagonal/>
    </border>
    <border>
      <left style="thin">
        <color indexed="12"/>
      </left>
      <right/>
      <top style="thin">
        <color indexed="12"/>
      </top>
      <bottom/>
      <diagonal/>
    </border>
    <border>
      <left/>
      <right/>
      <top style="thin">
        <color indexed="12"/>
      </top>
      <bottom style="thin">
        <color indexed="15"/>
      </bottom>
      <diagonal/>
    </border>
    <border>
      <left/>
      <right/>
      <top style="thin">
        <color indexed="12"/>
      </top>
      <bottom/>
      <diagonal/>
    </border>
    <border>
      <left/>
      <right style="thin">
        <color indexed="12"/>
      </right>
      <top style="thin">
        <color indexed="12"/>
      </top>
      <bottom/>
      <diagonal/>
    </border>
    <border>
      <left style="thin">
        <color indexed="12"/>
      </left>
      <right style="thin">
        <color indexed="15"/>
      </right>
      <top/>
      <bottom/>
      <diagonal/>
    </border>
    <border>
      <left style="thin">
        <color indexed="15"/>
      </left>
      <right style="thin">
        <color indexed="15"/>
      </right>
      <top style="thin">
        <color indexed="15"/>
      </top>
      <bottom style="thin">
        <color indexed="15"/>
      </bottom>
      <diagonal/>
    </border>
    <border>
      <left style="thin">
        <color indexed="15"/>
      </left>
      <right/>
      <top/>
      <bottom/>
      <diagonal/>
    </border>
    <border>
      <left/>
      <right/>
      <top/>
      <bottom/>
      <diagonal/>
    </border>
    <border>
      <left/>
      <right style="thin">
        <color indexed="12"/>
      </right>
      <top/>
      <bottom/>
      <diagonal/>
    </border>
    <border>
      <left style="thin">
        <color indexed="15"/>
      </left>
      <right style="thin">
        <color indexed="15"/>
      </right>
      <top style="thin">
        <color indexed="15"/>
      </top>
      <bottom style="medium">
        <color indexed="15"/>
      </bottom>
      <diagonal/>
    </border>
    <border>
      <left style="thin">
        <color indexed="12"/>
      </left>
      <right/>
      <top/>
      <bottom/>
      <diagonal/>
    </border>
    <border>
      <left/>
      <right/>
      <top style="medium">
        <color indexed="15"/>
      </top>
      <bottom style="thin">
        <color indexed="15"/>
      </bottom>
      <diagonal/>
    </border>
    <border>
      <left/>
      <right/>
      <top style="medium">
        <color indexed="15"/>
      </top>
      <bottom/>
      <diagonal/>
    </border>
    <border>
      <left/>
      <right/>
      <top/>
      <bottom style="thin">
        <color indexed="15"/>
      </bottom>
      <diagonal/>
    </border>
    <border>
      <left/>
      <right style="thin">
        <color indexed="15"/>
      </right>
      <top/>
      <bottom style="thin">
        <color indexed="15"/>
      </bottom>
      <diagonal/>
    </border>
    <border>
      <left style="thin">
        <color indexed="15"/>
      </left>
      <right style="thin">
        <color indexed="15"/>
      </right>
      <top/>
      <bottom/>
      <diagonal/>
    </border>
    <border>
      <left style="thin">
        <color indexed="15"/>
      </left>
      <right/>
      <top/>
      <bottom style="thin">
        <color indexed="15"/>
      </bottom>
      <diagonal/>
    </border>
    <border>
      <left/>
      <right style="thin">
        <color indexed="15"/>
      </right>
      <top style="thin">
        <color indexed="15"/>
      </top>
      <bottom style="thin">
        <color indexed="15"/>
      </bottom>
      <diagonal/>
    </border>
    <border>
      <left/>
      <right/>
      <top style="thin">
        <color indexed="15"/>
      </top>
      <bottom style="thin">
        <color indexed="15"/>
      </bottom>
      <diagonal/>
    </border>
    <border>
      <left style="thin">
        <color indexed="15"/>
      </left>
      <right/>
      <top style="thin">
        <color indexed="15"/>
      </top>
      <bottom style="thin">
        <color indexed="15"/>
      </bottom>
      <diagonal/>
    </border>
    <border>
      <left/>
      <right/>
      <top style="thin">
        <color indexed="15"/>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s>
  <cellStyleXfs count="1">
    <xf numFmtId="0" fontId="0" applyNumberFormat="0" applyFont="1" applyFill="0" applyBorder="0" applyAlignment="1" applyProtection="0">
      <alignment vertical="bottom"/>
    </xf>
  </cellStyleXfs>
  <cellXfs count="14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49" fontId="6" fillId="4" borderId="2" applyNumberFormat="1" applyFont="1" applyFill="1" applyBorder="1" applyAlignment="1" applyProtection="0">
      <alignment vertical="center"/>
    </xf>
    <xf numFmtId="0" fontId="7" fillId="4" borderId="2" applyNumberFormat="0" applyFont="1" applyFill="1" applyBorder="1" applyAlignment="1" applyProtection="0">
      <alignment vertical="center"/>
    </xf>
    <xf numFmtId="0" fontId="7" fillId="4" borderId="3" applyNumberFormat="0" applyFont="1" applyFill="1" applyBorder="1" applyAlignment="1" applyProtection="0">
      <alignment vertical="center"/>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8" borderId="5" applyNumberFormat="0" applyFont="1" applyFill="0" applyBorder="1" applyAlignment="1" applyProtection="0">
      <alignment vertical="bottom"/>
    </xf>
    <xf numFmtId="49" fontId="9" fillId="5" borderId="6" applyNumberFormat="1" applyFont="1" applyFill="1" applyBorder="1" applyAlignment="1" applyProtection="0">
      <alignment horizontal="left" vertical="center" wrapText="1"/>
    </xf>
    <xf numFmtId="0" fontId="9" fillId="5" borderId="6" applyNumberFormat="0" applyFont="1" applyFill="1" applyBorder="1" applyAlignment="1" applyProtection="0">
      <alignment horizontal="left" vertical="center" wrapText="1"/>
    </xf>
    <xf numFmtId="0" fontId="10" fillId="4" borderId="7" applyNumberFormat="0" applyFont="1" applyFill="1" applyBorder="1" applyAlignment="1" applyProtection="0">
      <alignment horizontal="left" vertical="center"/>
    </xf>
    <xf numFmtId="0" fontId="10" fillId="4" borderId="8" applyNumberFormat="0" applyFont="1" applyFill="1" applyBorder="1" applyAlignment="1" applyProtection="0">
      <alignment horizontal="left" vertical="center"/>
    </xf>
    <xf numFmtId="0" fontId="1" borderId="8" applyNumberFormat="0" applyFont="1" applyFill="0" applyBorder="1" applyAlignment="1" applyProtection="0">
      <alignment vertical="bottom"/>
    </xf>
    <xf numFmtId="0" fontId="1" borderId="9" applyNumberFormat="0" applyFont="1" applyFill="0" applyBorder="1" applyAlignment="1" applyProtection="0">
      <alignment vertical="bottom"/>
    </xf>
    <xf numFmtId="0" fontId="11" fillId="4" borderId="5" applyNumberFormat="0" applyFont="1" applyFill="1" applyBorder="1" applyAlignment="1" applyProtection="0">
      <alignment horizontal="center" vertical="center" wrapText="1"/>
    </xf>
    <xf numFmtId="49" fontId="12" fillId="6" borderId="10" applyNumberFormat="1" applyFont="1" applyFill="1" applyBorder="1" applyAlignment="1" applyProtection="0">
      <alignment horizontal="left" vertical="center" wrapText="1"/>
    </xf>
    <xf numFmtId="0" fontId="12" fillId="6" borderId="10" applyNumberFormat="0" applyFont="1" applyFill="1" applyBorder="1" applyAlignment="1" applyProtection="0">
      <alignment horizontal="left" vertical="center" wrapText="1"/>
    </xf>
    <xf numFmtId="0" fontId="13" fillId="4" borderId="7" applyNumberFormat="0" applyFont="1" applyFill="1" applyBorder="1" applyAlignment="1" applyProtection="0">
      <alignment horizontal="left" vertical="center" wrapText="1"/>
    </xf>
    <xf numFmtId="0" fontId="13" fillId="4" borderId="8" applyNumberFormat="0" applyFont="1" applyFill="1" applyBorder="1" applyAlignment="1" applyProtection="0">
      <alignment horizontal="left" vertical="center" wrapText="1"/>
    </xf>
    <xf numFmtId="0" fontId="11" fillId="4" borderId="8" applyNumberFormat="0" applyFont="1" applyFill="1" applyBorder="1" applyAlignment="1" applyProtection="0">
      <alignment horizontal="center" vertical="center" wrapText="1"/>
    </xf>
    <xf numFmtId="0" fontId="11" fillId="4" borderId="9" applyNumberFormat="0" applyFont="1" applyFill="1" applyBorder="1" applyAlignment="1" applyProtection="0">
      <alignment horizontal="center" vertical="center" wrapText="1"/>
    </xf>
    <xf numFmtId="0" fontId="1" borderId="11" applyNumberFormat="0" applyFont="1" applyFill="0" applyBorder="1" applyAlignment="1" applyProtection="0">
      <alignment vertical="bottom"/>
    </xf>
    <xf numFmtId="0" fontId="1" fillId="4" borderId="12" applyNumberFormat="0" applyFont="1" applyFill="1" applyBorder="1" applyAlignment="1" applyProtection="0">
      <alignment vertical="bottom" wrapText="1"/>
    </xf>
    <xf numFmtId="0" fontId="1" fillId="4" borderId="12" applyNumberFormat="0" applyFont="1" applyFill="1" applyBorder="1" applyAlignment="1" applyProtection="0">
      <alignment horizontal="left" vertical="bottom" wrapText="1"/>
    </xf>
    <xf numFmtId="0" fontId="1" fillId="4" borderId="8" applyNumberFormat="0" applyFont="1" applyFill="1" applyBorder="1" applyAlignment="1" applyProtection="0">
      <alignment horizontal="left" vertical="bottom" wrapText="1"/>
    </xf>
    <xf numFmtId="0" fontId="0" borderId="8" applyNumberFormat="0" applyFont="1" applyFill="0" applyBorder="1" applyAlignment="1" applyProtection="0">
      <alignment vertical="bottom"/>
    </xf>
    <xf numFmtId="59" fontId="12" fillId="6" borderId="10" applyNumberFormat="1" applyFont="1" applyFill="1" applyBorder="1" applyAlignment="1" applyProtection="0">
      <alignment horizontal="left" vertical="center" wrapText="1"/>
    </xf>
    <xf numFmtId="0" fontId="14" fillId="4" borderId="13" applyNumberFormat="0" applyFont="1" applyFill="1" applyBorder="1" applyAlignment="1" applyProtection="0">
      <alignment vertical="bottom" wrapText="1"/>
    </xf>
    <xf numFmtId="0" fontId="1" fillId="4" borderId="14" applyNumberFormat="0" applyFont="1" applyFill="1" applyBorder="1" applyAlignment="1" applyProtection="0">
      <alignment horizontal="left" vertical="bottom" wrapText="1"/>
    </xf>
    <xf numFmtId="0" fontId="11" fillId="4" borderId="11" applyNumberFormat="0" applyFont="1" applyFill="1" applyBorder="1" applyAlignment="1" applyProtection="0">
      <alignment horizontal="center" vertical="center" wrapText="1"/>
    </xf>
    <xf numFmtId="0" fontId="1" fillId="4" borderId="15" applyNumberFormat="0" applyFont="1" applyFill="1" applyBorder="1" applyAlignment="1" applyProtection="0">
      <alignment vertical="bottom" wrapText="1"/>
    </xf>
    <xf numFmtId="49" fontId="9" fillId="7" borderId="6" applyNumberFormat="1" applyFont="1" applyFill="1" applyBorder="1" applyAlignment="1" applyProtection="0">
      <alignment horizontal="center" vertical="center"/>
    </xf>
    <xf numFmtId="0" fontId="13" fillId="4" borderId="16" applyNumberFormat="0" applyFont="1" applyFill="1" applyBorder="1" applyAlignment="1" applyProtection="0">
      <alignment horizontal="left" vertical="center" wrapText="1"/>
    </xf>
    <xf numFmtId="0" fontId="0" borderId="7" applyNumberFormat="0" applyFont="1" applyFill="0" applyBorder="1" applyAlignment="1" applyProtection="0">
      <alignment vertical="bottom"/>
    </xf>
    <xf numFmtId="0" fontId="1" borderId="5" applyNumberFormat="0" applyFont="1" applyFill="0" applyBorder="1" applyAlignment="1" applyProtection="0">
      <alignment vertical="bottom"/>
    </xf>
    <xf numFmtId="49" fontId="9" fillId="7" borderId="6" applyNumberFormat="1" applyFont="1" applyFill="1" applyBorder="1" applyAlignment="1" applyProtection="0">
      <alignment horizontal="right" vertical="center"/>
    </xf>
    <xf numFmtId="60" fontId="14" fillId="8" borderId="6" applyNumberFormat="1" applyFont="1" applyFill="1" applyBorder="1" applyAlignment="1" applyProtection="0">
      <alignment horizontal="left" vertical="center"/>
    </xf>
    <xf numFmtId="61" fontId="13" fillId="8" borderId="6" applyNumberFormat="1" applyFont="1" applyFill="1" applyBorder="1" applyAlignment="1" applyProtection="0">
      <alignment horizontal="left" vertical="center"/>
    </xf>
    <xf numFmtId="60" fontId="14" fillId="4" borderId="16" applyNumberFormat="1" applyFont="1" applyFill="1" applyBorder="1" applyAlignment="1" applyProtection="0">
      <alignment horizontal="left" vertical="center"/>
    </xf>
    <xf numFmtId="0" fontId="0" borderId="9" applyNumberFormat="0" applyFont="1" applyFill="0" applyBorder="1" applyAlignment="1" applyProtection="0">
      <alignment vertical="bottom"/>
    </xf>
    <xf numFmtId="0" fontId="1" borderId="16" applyNumberFormat="0" applyFont="1" applyFill="0" applyBorder="1" applyAlignment="1" applyProtection="0">
      <alignment vertical="bottom"/>
    </xf>
    <xf numFmtId="0" fontId="1" borderId="7" applyNumberFormat="0" applyFont="1" applyFill="0" applyBorder="1" applyAlignment="1" applyProtection="0">
      <alignment vertical="bottom"/>
    </xf>
    <xf numFmtId="49" fontId="9" fillId="9" borderId="10" applyNumberFormat="1" applyFont="1" applyFill="1" applyBorder="1" applyAlignment="1" applyProtection="0">
      <alignment horizontal="right" vertical="center"/>
    </xf>
    <xf numFmtId="60" fontId="14" fillId="10" borderId="10" applyNumberFormat="1" applyFont="1" applyFill="1" applyBorder="1" applyAlignment="1" applyProtection="0">
      <alignment horizontal="left" vertical="center"/>
    </xf>
    <xf numFmtId="61" fontId="13" fillId="10" borderId="10" applyNumberFormat="1" applyFont="1" applyFill="1" applyBorder="1" applyAlignment="1" applyProtection="0">
      <alignment horizontal="left" vertical="center"/>
    </xf>
    <xf numFmtId="0" fontId="1" borderId="12" applyNumberFormat="0" applyFont="1" applyFill="0" applyBorder="1" applyAlignment="1" applyProtection="0">
      <alignment vertical="bottom"/>
    </xf>
    <xf numFmtId="0" fontId="1" borderId="13" applyNumberFormat="0" applyFont="1" applyFill="0" applyBorder="1" applyAlignment="1" applyProtection="0">
      <alignment vertical="bottom"/>
    </xf>
    <xf numFmtId="49" fontId="15" fillId="7" borderId="6" applyNumberFormat="1" applyFont="1" applyFill="1" applyBorder="1" applyAlignment="1" applyProtection="0">
      <alignment horizontal="left" vertical="center"/>
    </xf>
    <xf numFmtId="0" fontId="1" borderId="17" applyNumberFormat="0" applyFont="1" applyFill="0" applyBorder="1" applyAlignment="1" applyProtection="0">
      <alignment vertical="bottom"/>
    </xf>
    <xf numFmtId="0" fontId="1" borderId="14" applyNumberFormat="0" applyFont="1" applyFill="0" applyBorder="1" applyAlignment="1" applyProtection="0">
      <alignment vertical="bottom"/>
    </xf>
    <xf numFmtId="0" fontId="1" fillId="4" borderId="18" applyNumberFormat="0" applyFont="1" applyFill="1" applyBorder="1" applyAlignment="1" applyProtection="0">
      <alignment vertical="bottom" wrapText="1"/>
    </xf>
    <xf numFmtId="49" fontId="16" fillId="7" borderId="6" applyNumberFormat="1" applyFont="1" applyFill="1" applyBorder="1" applyAlignment="1" applyProtection="0">
      <alignment horizontal="right" vertical="center"/>
    </xf>
    <xf numFmtId="1" fontId="13" fillId="8" borderId="6" applyNumberFormat="1" applyFont="1" applyFill="1" applyBorder="1" applyAlignment="1" applyProtection="0">
      <alignment horizontal="center" vertical="center"/>
    </xf>
    <xf numFmtId="49" fontId="16" fillId="9" borderId="10" applyNumberFormat="1" applyFont="1" applyFill="1" applyBorder="1" applyAlignment="1" applyProtection="0">
      <alignment horizontal="right" vertical="center"/>
    </xf>
    <xf numFmtId="1" fontId="13" fillId="8" borderId="10" applyNumberFormat="1" applyFont="1" applyFill="1" applyBorder="1" applyAlignment="1" applyProtection="0">
      <alignment horizontal="center" vertical="center"/>
    </xf>
    <xf numFmtId="60" fontId="14" fillId="4" borderId="13" applyNumberFormat="1" applyFont="1" applyFill="1" applyBorder="1" applyAlignment="1" applyProtection="0">
      <alignment horizontal="left" vertical="center"/>
    </xf>
    <xf numFmtId="60" fontId="14" fillId="4" borderId="8" applyNumberFormat="1" applyFont="1" applyFill="1" applyBorder="1" applyAlignment="1" applyProtection="0">
      <alignment horizontal="left" vertical="center"/>
    </xf>
    <xf numFmtId="49" fontId="17" borderId="14" applyNumberFormat="1" applyFont="1" applyFill="0" applyBorder="1" applyAlignment="1" applyProtection="0">
      <alignment vertical="bottom"/>
    </xf>
    <xf numFmtId="0" fontId="1" fillId="4" borderId="14" applyNumberFormat="0" applyFont="1" applyFill="1" applyBorder="1" applyAlignment="1" applyProtection="0">
      <alignment horizontal="left" vertical="top" wrapText="1"/>
    </xf>
    <xf numFmtId="0" fontId="1" fillId="4" borderId="8" applyNumberFormat="0" applyFont="1" applyFill="1" applyBorder="1" applyAlignment="1" applyProtection="0">
      <alignment horizontal="left" vertical="top" wrapText="1"/>
    </xf>
    <xf numFmtId="49" fontId="9" fillId="7" borderId="6" applyNumberFormat="1" applyFont="1" applyFill="1" applyBorder="1" applyAlignment="1" applyProtection="0">
      <alignment horizontal="left" vertical="center"/>
    </xf>
    <xf numFmtId="49" fontId="9" fillId="5" borderId="6" applyNumberFormat="1" applyFont="1" applyFill="1" applyBorder="1" applyAlignment="1" applyProtection="0">
      <alignment horizontal="center" vertical="center"/>
    </xf>
    <xf numFmtId="49" fontId="14" fillId="4" borderId="6" applyNumberFormat="1" applyFont="1" applyFill="1" applyBorder="1" applyAlignment="1" applyProtection="0">
      <alignment horizontal="left" vertical="center"/>
    </xf>
    <xf numFmtId="62" fontId="14" fillId="11" borderId="6" applyNumberFormat="1" applyFont="1" applyFill="1" applyBorder="1" applyAlignment="1" applyProtection="0">
      <alignment horizontal="left" vertical="center"/>
    </xf>
    <xf numFmtId="61" fontId="14" fillId="4" borderId="6" applyNumberFormat="1" applyFont="1" applyFill="1" applyBorder="1" applyAlignment="1" applyProtection="0">
      <alignment horizontal="left" vertical="center"/>
    </xf>
    <xf numFmtId="62" fontId="18" fillId="12" borderId="6" applyNumberFormat="1" applyFont="1" applyFill="1" applyBorder="1" applyAlignment="1" applyProtection="0">
      <alignment horizontal="left" vertical="center"/>
    </xf>
    <xf numFmtId="49" fontId="9" fillId="5" borderId="6" applyNumberFormat="1" applyFont="1" applyFill="1" applyBorder="1" applyAlignment="1" applyProtection="0">
      <alignment horizontal="right" vertical="center"/>
    </xf>
    <xf numFmtId="62" fontId="14" fillId="8" borderId="6" applyNumberFormat="1" applyFont="1" applyFill="1" applyBorder="1" applyAlignment="1" applyProtection="0">
      <alignment horizontal="left" vertical="center"/>
    </xf>
    <xf numFmtId="0" fontId="1" borderId="19" applyNumberFormat="0" applyFont="1" applyFill="0" applyBorder="1" applyAlignment="1" applyProtection="0">
      <alignment vertical="bottom"/>
    </xf>
    <xf numFmtId="62" fontId="14" fillId="4" borderId="19" applyNumberFormat="1" applyFont="1" applyFill="1" applyBorder="1" applyAlignment="1" applyProtection="0">
      <alignment horizontal="left" vertical="center"/>
    </xf>
    <xf numFmtId="62" fontId="1" borderId="19" applyNumberFormat="1" applyFont="1" applyFill="0" applyBorder="1" applyAlignment="1" applyProtection="0">
      <alignment vertical="bottom"/>
    </xf>
    <xf numFmtId="0" fontId="19" borderId="5" applyNumberFormat="0" applyFont="1" applyFill="0" applyBorder="1" applyAlignment="1" applyProtection="0">
      <alignment vertical="bottom"/>
    </xf>
    <xf numFmtId="49" fontId="14" fillId="13" borderId="6" applyNumberFormat="1" applyFont="1" applyFill="1" applyBorder="1" applyAlignment="1" applyProtection="0">
      <alignment horizontal="left" vertical="center"/>
    </xf>
    <xf numFmtId="60" fontId="14" fillId="4" borderId="6" applyNumberFormat="1" applyFont="1" applyFill="1" applyBorder="1" applyAlignment="1" applyProtection="0">
      <alignment horizontal="left" vertical="center"/>
    </xf>
    <xf numFmtId="61" fontId="14" fillId="13" borderId="6" applyNumberFormat="1" applyFont="1" applyFill="1" applyBorder="1" applyAlignment="1" applyProtection="0">
      <alignment horizontal="left" vertical="center"/>
    </xf>
    <xf numFmtId="62" fontId="14" fillId="4" borderId="16" applyNumberFormat="1" applyFont="1" applyFill="1" applyBorder="1" applyAlignment="1" applyProtection="0">
      <alignment horizontal="left" vertical="center"/>
    </xf>
    <xf numFmtId="0" fontId="19" borderId="8" applyNumberFormat="0" applyFont="1" applyFill="0" applyBorder="1" applyAlignment="1" applyProtection="0">
      <alignment vertical="bottom"/>
    </xf>
    <xf numFmtId="0" fontId="8" borderId="8" applyNumberFormat="0" applyFont="1" applyFill="0" applyBorder="1" applyAlignment="1" applyProtection="0">
      <alignment vertical="bottom"/>
    </xf>
    <xf numFmtId="60" fontId="14" fillId="4" borderId="19" applyNumberFormat="1" applyFont="1" applyFill="1" applyBorder="1" applyAlignment="1" applyProtection="0">
      <alignment horizontal="left" vertical="center"/>
    </xf>
    <xf numFmtId="63" fontId="13" fillId="8" borderId="6" applyNumberFormat="1" applyFont="1" applyFill="1" applyBorder="1" applyAlignment="1" applyProtection="0">
      <alignment horizontal="left" vertical="center"/>
    </xf>
    <xf numFmtId="0" fontId="1" fillId="4" borderId="19" applyNumberFormat="0" applyFont="1" applyFill="1" applyBorder="1" applyAlignment="1" applyProtection="0">
      <alignment vertical="bottom" wrapText="1"/>
    </xf>
    <xf numFmtId="0" fontId="1" fillId="4" borderId="19" applyNumberFormat="0" applyFont="1" applyFill="1" applyBorder="1" applyAlignment="1" applyProtection="0">
      <alignment horizontal="left" vertical="bottom" wrapText="1"/>
    </xf>
    <xf numFmtId="49" fontId="9" fillId="7" borderId="20" applyNumberFormat="1" applyFont="1" applyFill="1" applyBorder="1" applyAlignment="1" applyProtection="0">
      <alignment horizontal="left" vertical="center"/>
    </xf>
    <xf numFmtId="0" fontId="9" fillId="7" borderId="19" applyNumberFormat="0" applyFont="1" applyFill="1" applyBorder="1" applyAlignment="1" applyProtection="0">
      <alignment vertical="center"/>
    </xf>
    <xf numFmtId="0" fontId="9" fillId="7" borderId="18" applyNumberFormat="0" applyFont="1" applyFill="1" applyBorder="1" applyAlignment="1" applyProtection="0">
      <alignment vertical="center"/>
    </xf>
    <xf numFmtId="0" fontId="9" fillId="7" borderId="6" applyNumberFormat="0" applyFont="1" applyFill="1" applyBorder="1" applyAlignment="1" applyProtection="0">
      <alignment vertical="center"/>
    </xf>
    <xf numFmtId="49" fontId="9" fillId="5" borderId="6" applyNumberFormat="1" applyFont="1" applyFill="1" applyBorder="1" applyAlignment="1" applyProtection="0">
      <alignment horizontal="left" vertical="center"/>
    </xf>
    <xf numFmtId="0" fontId="0" borderId="5" applyNumberFormat="0" applyFont="1" applyFill="0" applyBorder="1" applyAlignment="1" applyProtection="0">
      <alignment vertical="bottom"/>
    </xf>
    <xf numFmtId="49" fontId="14" fillId="12" borderId="6" applyNumberFormat="1" applyFont="1" applyFill="1" applyBorder="1" applyAlignment="1" applyProtection="0">
      <alignment horizontal="left" vertical="center"/>
    </xf>
    <xf numFmtId="0" fontId="14" fillId="4" borderId="6" applyNumberFormat="0" applyFont="1" applyFill="1" applyBorder="1" applyAlignment="1" applyProtection="0">
      <alignment horizontal="left" vertical="center"/>
    </xf>
    <xf numFmtId="0" fontId="8" fillId="4" borderId="16" applyNumberFormat="0" applyFont="1" applyFill="1" applyBorder="1" applyAlignment="1" applyProtection="0">
      <alignment vertical="center"/>
    </xf>
    <xf numFmtId="0" fontId="14" fillId="4" borderId="19" applyNumberFormat="0" applyFont="1" applyFill="1" applyBorder="1" applyAlignment="1" applyProtection="0">
      <alignment horizontal="left" vertical="center"/>
    </xf>
    <xf numFmtId="0" fontId="9" fillId="5" borderId="6" applyNumberFormat="0" applyFont="1" applyFill="1" applyBorder="1" applyAlignment="1" applyProtection="0">
      <alignment horizontal="right" vertical="center"/>
    </xf>
    <xf numFmtId="62" fontId="1" borderId="16" applyNumberFormat="1" applyFont="1" applyFill="0" applyBorder="1" applyAlignment="1" applyProtection="0">
      <alignment vertical="bottom"/>
    </xf>
    <xf numFmtId="0" fontId="11" fillId="4" borderId="21" applyNumberFormat="0" applyFont="1" applyFill="1" applyBorder="1" applyAlignment="1" applyProtection="0">
      <alignment vertical="center"/>
    </xf>
    <xf numFmtId="0" fontId="1" borderId="21" applyNumberFormat="0" applyFont="1" applyFill="0" applyBorder="1" applyAlignment="1" applyProtection="0">
      <alignment vertical="bottom"/>
    </xf>
    <xf numFmtId="0" fontId="8" fillId="4" borderId="21" applyNumberFormat="0" applyFont="1" applyFill="1" applyBorder="1" applyAlignment="1" applyProtection="0">
      <alignment vertical="center"/>
    </xf>
    <xf numFmtId="0" fontId="0" borderId="11" applyNumberFormat="0" applyFont="1" applyFill="0" applyBorder="1" applyAlignment="1" applyProtection="0">
      <alignment vertical="bottom"/>
    </xf>
    <xf numFmtId="0" fontId="0" borderId="22" applyNumberFormat="0" applyFont="1" applyFill="0" applyBorder="1" applyAlignment="1" applyProtection="0">
      <alignment vertical="bottom"/>
    </xf>
    <xf numFmtId="0" fontId="1" borderId="23" applyNumberFormat="0" applyFont="1" applyFill="0" applyBorder="1" applyAlignment="1" applyProtection="0">
      <alignment vertical="bottom"/>
    </xf>
    <xf numFmtId="0" fontId="0" borderId="23" applyNumberFormat="0" applyFont="1" applyFill="0" applyBorder="1" applyAlignment="1" applyProtection="0">
      <alignment vertical="bottom"/>
    </xf>
    <xf numFmtId="0" fontId="0" borderId="24" applyNumberFormat="0" applyFont="1" applyFill="0" applyBorder="1" applyAlignment="1" applyProtection="0">
      <alignment vertical="bottom"/>
    </xf>
    <xf numFmtId="0" fontId="0" applyNumberFormat="1" applyFont="1" applyFill="0" applyBorder="0" applyAlignment="1" applyProtection="0">
      <alignment vertical="bottom"/>
    </xf>
    <xf numFmtId="65" fontId="12" fillId="6" borderId="10" applyNumberFormat="1" applyFont="1" applyFill="1" applyBorder="1" applyAlignment="1" applyProtection="0">
      <alignment horizontal="left" vertical="center" wrapText="1"/>
    </xf>
    <xf numFmtId="62" fontId="14" fillId="4" borderId="6" applyNumberFormat="1" applyFont="1" applyFill="1" applyBorder="1" applyAlignment="1" applyProtection="0">
      <alignment horizontal="left" vertical="center"/>
    </xf>
    <xf numFmtId="49" fontId="14" fillId="11" borderId="6" applyNumberFormat="1" applyFont="1" applyFill="1" applyBorder="1" applyAlignment="1" applyProtection="0">
      <alignment horizontal="left" vertical="center"/>
    </xf>
    <xf numFmtId="0" fontId="0" applyNumberFormat="1" applyFont="1" applyFill="0" applyBorder="0" applyAlignment="1" applyProtection="0">
      <alignment vertical="bottom"/>
    </xf>
    <xf numFmtId="0" fontId="22" fillId="4" borderId="5" applyNumberFormat="0" applyFont="1" applyFill="1" applyBorder="1" applyAlignment="1" applyProtection="0">
      <alignment horizontal="center" vertical="center" wrapText="1"/>
    </xf>
    <xf numFmtId="0" fontId="17" fillId="6" borderId="10" applyNumberFormat="0" applyFont="1" applyFill="1" applyBorder="1" applyAlignment="1" applyProtection="0">
      <alignment horizontal="left" vertical="center" wrapText="1"/>
    </xf>
    <xf numFmtId="0" fontId="17" fillId="4" borderId="7" applyNumberFormat="0" applyFont="1" applyFill="1" applyBorder="1" applyAlignment="1" applyProtection="0">
      <alignment horizontal="left" vertical="center" wrapText="1"/>
    </xf>
    <xf numFmtId="0" fontId="17" fillId="4" borderId="8" applyNumberFormat="0" applyFont="1" applyFill="1" applyBorder="1" applyAlignment="1" applyProtection="0">
      <alignment horizontal="left" vertical="center" wrapText="1"/>
    </xf>
    <xf numFmtId="0" fontId="22" fillId="4" borderId="8" applyNumberFormat="0" applyFont="1" applyFill="1" applyBorder="1" applyAlignment="1" applyProtection="0">
      <alignment horizontal="center" vertical="center" wrapText="1"/>
    </xf>
    <xf numFmtId="0" fontId="22" fillId="4" borderId="9" applyNumberFormat="0" applyFont="1" applyFill="1" applyBorder="1" applyAlignment="1" applyProtection="0">
      <alignment horizontal="center" vertical="center" wrapText="1"/>
    </xf>
    <xf numFmtId="0" fontId="0" borderId="12" applyNumberFormat="0" applyFont="1" applyFill="0" applyBorder="1" applyAlignment="1" applyProtection="0">
      <alignment vertical="bottom"/>
    </xf>
    <xf numFmtId="0" fontId="0" borderId="6" applyNumberFormat="0" applyFont="1" applyFill="0" applyBorder="1" applyAlignment="1" applyProtection="0">
      <alignment vertical="bottom"/>
    </xf>
    <xf numFmtId="59" fontId="17" fillId="6" borderId="10" applyNumberFormat="1" applyFont="1" applyFill="1" applyBorder="1" applyAlignment="1" applyProtection="0">
      <alignment horizontal="left" vertical="center" wrapText="1"/>
    </xf>
    <xf numFmtId="0" fontId="0" borderId="13" applyNumberFormat="0" applyFont="1" applyFill="0" applyBorder="1" applyAlignment="1" applyProtection="0">
      <alignment vertical="bottom"/>
    </xf>
    <xf numFmtId="61" fontId="13" fillId="8" borderId="6" applyNumberFormat="1" applyFont="1" applyFill="1" applyBorder="1" applyAlignment="1" applyProtection="0">
      <alignment vertical="center"/>
    </xf>
    <xf numFmtId="0" fontId="14" fillId="4" borderId="8" applyNumberFormat="0" applyFont="1" applyFill="1" applyBorder="1" applyAlignment="1" applyProtection="0">
      <alignment horizontal="left" vertical="center"/>
    </xf>
    <xf numFmtId="61" fontId="13" fillId="10" borderId="10" applyNumberFormat="1" applyFont="1" applyFill="1" applyBorder="1" applyAlignment="1" applyProtection="0">
      <alignment vertical="center"/>
    </xf>
    <xf numFmtId="0" fontId="9" fillId="5" borderId="6" applyNumberFormat="0" applyFont="1" applyFill="1" applyBorder="1" applyAlignment="1" applyProtection="0">
      <alignment horizontal="center" vertical="center"/>
    </xf>
    <xf numFmtId="61" fontId="14" fillId="4" borderId="6" applyNumberFormat="1" applyFont="1" applyFill="1" applyBorder="1" applyAlignment="1" applyProtection="0">
      <alignment vertical="center"/>
    </xf>
    <xf numFmtId="61" fontId="14" fillId="13" borderId="6" applyNumberFormat="1" applyFont="1" applyFill="1" applyBorder="1" applyAlignment="1" applyProtection="0">
      <alignment vertical="center"/>
    </xf>
    <xf numFmtId="0" fontId="13" fillId="4" borderId="8" applyNumberFormat="0" applyFont="1" applyFill="1" applyBorder="1" applyAlignment="1" applyProtection="0">
      <alignment horizontal="left" vertical="center"/>
    </xf>
    <xf numFmtId="0" fontId="8" fillId="4" borderId="8" applyNumberFormat="0" applyFont="1" applyFill="1" applyBorder="1" applyAlignment="1" applyProtection="0">
      <alignment vertical="center"/>
    </xf>
    <xf numFmtId="0" fontId="0" applyNumberFormat="1" applyFont="1" applyFill="0" applyBorder="0" applyAlignment="1" applyProtection="0">
      <alignment vertical="bottom"/>
    </xf>
    <xf numFmtId="63" fontId="13" fillId="10" borderId="10" applyNumberFormat="1" applyFont="1" applyFill="1" applyBorder="1" applyAlignment="1" applyProtection="0">
      <alignment horizontal="left" vertical="center"/>
    </xf>
    <xf numFmtId="63" fontId="14" fillId="4" borderId="6" applyNumberFormat="1" applyFont="1" applyFill="1" applyBorder="1" applyAlignment="1" applyProtection="0">
      <alignment horizontal="left" vertical="center"/>
    </xf>
    <xf numFmtId="63" fontId="14" fillId="13" borderId="6" applyNumberFormat="1" applyFont="1" applyFill="1" applyBorder="1" applyAlignment="1" applyProtection="0">
      <alignment horizontal="left" vertical="center"/>
    </xf>
    <xf numFmtId="10" fontId="14" fillId="4" borderId="16" applyNumberFormat="1" applyFont="1" applyFill="1" applyBorder="1" applyAlignment="1" applyProtection="0">
      <alignment horizontal="left" vertical="center"/>
    </xf>
    <xf numFmtId="0" fontId="0" applyNumberFormat="1" applyFont="1" applyFill="0" applyBorder="0" applyAlignment="1" applyProtection="0">
      <alignment vertical="bottom"/>
    </xf>
    <xf numFmtId="49" fontId="23" fillId="4" borderId="3" applyNumberFormat="1" applyFont="1" applyFill="1" applyBorder="1" applyAlignment="1" applyProtection="0">
      <alignment vertical="center"/>
    </xf>
    <xf numFmtId="0" fontId="17" fillId="6" borderId="10" applyNumberFormat="1" applyFont="1" applyFill="1" applyBorder="1" applyAlignment="1" applyProtection="0">
      <alignment horizontal="left" vertical="center" wrapText="1"/>
    </xf>
    <xf numFmtId="66" fontId="13" fillId="8" borderId="6" applyNumberFormat="1" applyFont="1" applyFill="1" applyBorder="1" applyAlignment="1" applyProtection="0">
      <alignment vertical="center"/>
    </xf>
    <xf numFmtId="66" fontId="13" fillId="10" borderId="10" applyNumberFormat="1" applyFont="1" applyFill="1" applyBorder="1" applyAlignment="1" applyProtection="0">
      <alignment vertical="center"/>
    </xf>
    <xf numFmtId="66" fontId="14" fillId="4" borderId="6" applyNumberFormat="1" applyFont="1" applyFill="1" applyBorder="1" applyAlignment="1" applyProtection="0">
      <alignment vertical="center"/>
    </xf>
    <xf numFmtId="66" fontId="14" fillId="13" borderId="6" applyNumberFormat="1" applyFont="1" applyFill="1" applyBorder="1" applyAlignment="1" applyProtection="0">
      <alignment vertical="center"/>
    </xf>
  </cellXfs>
  <cellStyles count="1">
    <cellStyle name="Normal" xfId="0" builtinId="0"/>
  </cellStyles>
  <dxfs count="5">
    <dxf>
      <font>
        <color rgb="ffc00000"/>
      </font>
    </dxf>
    <dxf>
      <font>
        <color rgb="ffc00000"/>
      </font>
    </dxf>
    <dxf>
      <font>
        <color rgb="ffc00000"/>
      </font>
    </dxf>
    <dxf>
      <font>
        <color rgb="ffc00000"/>
      </font>
    </dxf>
    <dxf>
      <font>
        <color rgb="ffc00000"/>
      </font>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595959"/>
      <rgbColor rgb="ffffffff"/>
      <rgbColor rgb="ffbfbfbf"/>
      <rgbColor rgb="ff7f7f7f"/>
      <rgbColor rgb="ff333f4f"/>
      <rgbColor rgb="ffeaeef3"/>
      <rgbColor rgb="ff222a35"/>
      <rgbColor rgb="ffd9dce1"/>
      <rgbColor rgb="ffc00000"/>
      <rgbColor rgb="ff262626"/>
      <rgbColor rgb="ffd8d8d8"/>
      <rgbColor rgb="ff86cd4d"/>
      <rgbColor rgb="ffff2712"/>
      <rgbColor rgb="fff2f2f2"/>
      <rgbColor rgb="ff878787"/>
      <rgbColor rgb="ff00b0f0"/>
      <rgbColor rgb="ff92d050"/>
      <rgbColor rgb="ff00b05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116959"/>
          <c:y val="0.0806613"/>
          <c:w val="0.983304"/>
          <c:h val="0.715066"/>
        </c:manualLayout>
      </c:layout>
      <c:lineChart>
        <c:grouping val="standard"/>
        <c:varyColors val="0"/>
        <c:ser>
          <c:idx val="0"/>
          <c:order val="0"/>
          <c:tx>
            <c:strRef>
              <c:f>'SAMPLE - Monthly Profit &amp; Loss '!$B$9</c:f>
              <c:strCache>
                <c:ptCount val="1"/>
                <c:pt idx="0">
                  <c:v>GROSS PROFIT</c:v>
                </c:pt>
              </c:strCache>
            </c:strRef>
          </c:tx>
          <c:spPr>
            <a:solidFill>
              <a:srgbClr val="00B0F0"/>
            </a:solidFill>
            <a:ln w="25400" cap="rnd">
              <a:solidFill>
                <a:srgbClr val="00B0F0"/>
              </a:solidFill>
              <a:prstDash val="solid"/>
              <a:round/>
            </a:ln>
            <a:effectLst/>
          </c:spPr>
          <c:marker>
            <c:symbol val="circle"/>
            <c:size val="10"/>
            <c:spPr>
              <a:solidFill>
                <a:srgbClr val="00B0F0"/>
              </a:solidFill>
              <a:ln w="12700" cap="flat">
                <a:solidFill>
                  <a:srgbClr val="00B0F0"/>
                </a:solidFill>
                <a:prstDash val="solid"/>
                <a:round/>
              </a:ln>
              <a:effectLst/>
            </c:spPr>
          </c:marker>
          <c:dLbls>
            <c:numFmt formatCode="&quot; &quot;[$$-409]#,##0&quot; &quot;;&quot; &quot;[$$-409](#,##0);&quot; &quot;[$$-409]&quot;-&quot;??&quot; &quot;" sourceLinked="0"/>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cat>
            <c:strRef>
              <c:f>'SAMPLE - Monthly Profit &amp; Loss '!$D$8:$O$8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'SAMPLE - Monthly Profit &amp; Loss '!$D$9:$O$9</c:f>
              <c:numCache>
                <c:ptCount val="12"/>
                <c:pt idx="0">
                  <c:v>18640.800000</c:v>
                </c:pt>
                <c:pt idx="1">
                  <c:v>12440.400000</c:v>
                </c:pt>
                <c:pt idx="2">
                  <c:v>22052.400000</c:v>
                </c:pt>
                <c:pt idx="3">
                  <c:v>26091.600000</c:v>
                </c:pt>
                <c:pt idx="4">
                  <c:v>12633.200000</c:v>
                </c:pt>
                <c:pt idx="5">
                  <c:v>25394.400000</c:v>
                </c:pt>
                <c:pt idx="6">
                  <c:v>0.000000</c:v>
                </c:pt>
                <c:pt idx="7">
                  <c:v>0.000000</c:v>
                </c:pt>
                <c:pt idx="8">
                  <c:v>379.880000</c:v>
                </c:pt>
                <c:pt idx="9">
                  <c:v>1959.510000</c:v>
                </c:pt>
                <c:pt idx="10">
                  <c:v>4824.110000</c:v>
                </c:pt>
                <c:pt idx="11">
                  <c:v>7408.680000</c:v>
                </c:pt>
              </c:numCache>
            </c:numRef>
          </c:val>
          <c:smooth val="0"/>
        </c:ser>
        <c:ser>
          <c:idx val="1"/>
          <c:order val="1"/>
          <c:tx>
            <c:strRef>
              <c:f>'SAMPLE - Monthly Profit &amp; Loss '!$B$10</c:f>
              <c:strCache>
                <c:ptCount val="1"/>
                <c:pt idx="0">
                  <c:v>TOTAL EXPENSES</c:v>
                </c:pt>
              </c:strCache>
            </c:strRef>
          </c:tx>
          <c:spPr>
            <a:solidFill>
              <a:srgbClr val="92D050"/>
            </a:solidFill>
            <a:ln w="28575" cap="rnd">
              <a:solidFill>
                <a:srgbClr val="92D050"/>
              </a:solidFill>
              <a:prstDash val="solid"/>
              <a:round/>
            </a:ln>
            <a:effectLst/>
          </c:spPr>
          <c:marker>
            <c:symbol val="circle"/>
            <c:size val="10"/>
            <c:spPr>
              <a:solidFill>
                <a:srgbClr val="92D050"/>
              </a:solidFill>
              <a:ln w="9525" cap="flat">
                <a:solidFill>
                  <a:srgbClr val="00B050"/>
                </a:solidFill>
                <a:prstDash val="solid"/>
                <a:round/>
              </a:ln>
              <a:effectLst/>
            </c:spPr>
          </c:marker>
          <c:dLbls>
            <c:numFmt formatCode="&quot; &quot;[$$-409]#,##0&quot; &quot;;&quot; &quot;[$$-409](#,##0);&quot; &quot;[$$-409]&quot;-&quot;??&quot; &quot;" sourceLinked="0"/>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cat>
            <c:strRef>
              <c:f>'SAMPLE - Monthly Profit &amp; Loss '!$D$8:$O$8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'SAMPLE - Monthly Profit &amp; Loss '!$D$10:$O$10</c:f>
              <c:numCache>
                <c:ptCount val="12"/>
                <c:pt idx="0">
                  <c:v>13441.700000</c:v>
                </c:pt>
                <c:pt idx="1">
                  <c:v>9888.900000</c:v>
                </c:pt>
                <c:pt idx="2">
                  <c:v>16814.800000</c:v>
                </c:pt>
                <c:pt idx="3">
                  <c:v>18128.100000</c:v>
                </c:pt>
                <c:pt idx="4">
                  <c:v>13110.000000</c:v>
                </c:pt>
                <c:pt idx="5">
                  <c:v>20072.600000</c:v>
                </c:pt>
                <c:pt idx="6">
                  <c:v>0.000000</c:v>
                </c:pt>
                <c:pt idx="7">
                  <c:v>0.000000</c:v>
                </c:pt>
                <c:pt idx="8">
                  <c:v>0.000000</c:v>
                </c:pt>
                <c:pt idx="9">
                  <c:v>0.000000</c:v>
                </c:pt>
                <c:pt idx="10">
                  <c:v>0.000000</c:v>
                </c:pt>
                <c:pt idx="11">
                  <c:v>0.000000</c:v>
                </c:pt>
              </c:numCache>
            </c:numRef>
          </c:val>
          <c:smooth val="0"/>
        </c:ser>
        <c:ser>
          <c:idx val="2"/>
          <c:order val="2"/>
          <c:tx>
            <c:strRef>
              <c:f>'SAMPLE - Monthly Profit &amp; Loss '!$B$11</c:f>
              <c:strCache>
                <c:ptCount val="1"/>
                <c:pt idx="0">
                  <c:v>PROFIT / LOSS</c:v>
                </c:pt>
              </c:strCache>
            </c:strRef>
          </c:tx>
          <c:spPr>
            <a:solidFill>
              <a:schemeClr val="accent4"/>
            </a:solidFill>
            <a:ln w="28575" cap="rnd">
              <a:solidFill>
                <a:schemeClr val="accent3"/>
              </a:solidFill>
              <a:prstDash val="sysDot"/>
              <a:round/>
            </a:ln>
            <a:effectLst/>
          </c:spPr>
          <c:marker>
            <c:symbol val="diamond"/>
            <c:size val="6"/>
            <c:spPr>
              <a:solidFill>
                <a:schemeClr val="accent4"/>
              </a:solidFill>
              <a:ln w="9525" cap="flat">
                <a:solidFill>
                  <a:schemeClr val="accent3"/>
                </a:solidFill>
                <a:prstDash val="solid"/>
                <a:round/>
              </a:ln>
              <a:effectLst/>
            </c:spPr>
          </c:marker>
          <c:dLbls>
            <c:numFmt formatCode="&quot; &quot;[$$-409]#,##0&quot; &quot;;&quot; &quot;[$$-409](#,##0);&quot; &quot;[$$-409]&quot;-&quot;??&quot; &quot;" sourceLinked="0"/>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cat>
            <c:strRef>
              <c:f>'SAMPLE - Monthly Profit &amp; Loss '!$D$8:$O$8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'SAMPLE - Monthly Profit &amp; Loss '!$D$11:$O$11</c:f>
              <c:numCache>
                <c:ptCount val="12"/>
                <c:pt idx="0">
                  <c:v>5199.100000</c:v>
                </c:pt>
                <c:pt idx="1">
                  <c:v>2551.500000</c:v>
                </c:pt>
                <c:pt idx="2">
                  <c:v>5237.600000</c:v>
                </c:pt>
                <c:pt idx="3">
                  <c:v>7963.500000</c:v>
                </c:pt>
                <c:pt idx="4">
                  <c:v>-476.800000</c:v>
                </c:pt>
                <c:pt idx="5">
                  <c:v>5321.800000</c:v>
                </c:pt>
                <c:pt idx="6">
                  <c:v>0.000000</c:v>
                </c:pt>
                <c:pt idx="7">
                  <c:v>0.000000</c:v>
                </c:pt>
                <c:pt idx="8">
                  <c:v>379.880000</c:v>
                </c:pt>
                <c:pt idx="9">
                  <c:v>1959.510000</c:v>
                </c:pt>
                <c:pt idx="10">
                  <c:v>4824.110000</c:v>
                </c:pt>
                <c:pt idx="11">
                  <c:v>7408.680000</c:v>
                </c:pt>
              </c:numCache>
            </c:numRef>
          </c:val>
          <c:smooth val="0"/>
        </c:ser>
        <c:marker val="1"/>
        <c:axId val="2094734552"/>
        <c:axId val="2094734553"/>
      </c:lineChart>
      <c:catAx>
        <c:axId val="2094734552"/>
        <c:scaling>
          <c:orientation val="minMax"/>
        </c:scaling>
        <c:delete val="0"/>
        <c:axPos val="b"/>
        <c:numFmt formatCode="General" sourceLinked="1"/>
        <c:majorTickMark val="none"/>
        <c:minorTickMark val="none"/>
        <c:tickLblPos val="low"/>
        <c:spPr>
          <a:ln w="12700" cap="flat">
            <a:noFill/>
            <a:prstDash val="solid"/>
            <a:round/>
          </a:ln>
        </c:spPr>
        <c:txPr>
          <a:bodyPr rot="0"/>
          <a:lstStyle/>
          <a:p>
            <a:pPr>
              <a:defRPr b="0" i="0" strike="noStrike" sz="1000" u="none">
                <a:solidFill>
                  <a:srgbClr val="595959"/>
                </a:solidFill>
                <a:latin typeface="Century Gothic"/>
              </a:defRPr>
            </a:pPr>
          </a:p>
        </c:txPr>
        <c:crossAx val="2094734553"/>
        <c:crosses val="autoZero"/>
        <c:auto val="1"/>
        <c:lblAlgn val="ctr"/>
        <c:noMultiLvlLbl val="1"/>
      </c:catAx>
      <c:valAx>
        <c:axId val="2094734553"/>
        <c:scaling>
          <c:orientation val="minMax"/>
        </c:scaling>
        <c:delete val="0"/>
        <c:axPos val="l"/>
        <c:numFmt formatCode="General" sourceLinked="1"/>
        <c:majorTickMark val="none"/>
        <c:minorTickMark val="none"/>
        <c:tickLblPos val="none"/>
        <c:spPr>
          <a:ln w="12700" cap="flat">
            <a:noFill/>
            <a:prstDash val="solid"/>
            <a:round/>
          </a:ln>
        </c:spPr>
        <c:txPr>
          <a:bodyPr rot="0"/>
          <a:lstStyle/>
          <a:p>
            <a:pPr>
              <a:defRPr b="0" i="0" strike="noStrike" sz="1000" u="none">
                <a:solidFill>
                  <a:srgbClr val="000000"/>
                </a:solidFill>
                <a:latin typeface="Calibri"/>
              </a:defRPr>
            </a:pPr>
          </a:p>
        </c:txPr>
        <c:crossAx val="2094734552"/>
        <c:crosses val="autoZero"/>
        <c:crossBetween val="between"/>
        <c:majorUnit val="9375"/>
        <c:minorUnit val="4687.5"/>
      </c:valAx>
      <c:spPr>
        <a:noFill/>
        <a:ln w="12700" cap="flat">
          <a:noFill/>
          <a:miter lim="400000"/>
        </a:ln>
        <a:effectLst/>
      </c:spPr>
    </c:plotArea>
    <c:legend>
      <c:legendPos val="b"/>
      <c:layout>
        <c:manualLayout>
          <c:xMode val="edge"/>
          <c:yMode val="edge"/>
          <c:x val="0.260611"/>
          <c:y val="0.906839"/>
          <c:w val="0.438781"/>
          <c:h val="0.0931613"/>
        </c:manualLayout>
      </c:layout>
      <c:overlay val="1"/>
      <c:spPr>
        <a:noFill/>
        <a:ln w="12700" cap="flat">
          <a:noFill/>
          <a:miter lim="400000"/>
        </a:ln>
        <a:effectLst/>
      </c:spPr>
      <c:txPr>
        <a:bodyPr rot="0"/>
        <a:lstStyle/>
        <a:p>
          <a:pPr>
            <a:defRPr b="0" i="0" strike="noStrike" sz="1000" u="none">
              <a:solidFill>
                <a:srgbClr val="595959"/>
              </a:solidFill>
              <a:latin typeface="Century Gothic"/>
            </a:defRPr>
          </a:pPr>
        </a:p>
      </c:txPr>
    </c:legend>
    <c:plotVisOnly val="1"/>
    <c:dispBlanksAs val="gap"/>
  </c:chart>
  <c:spPr>
    <a:solidFill>
      <a:srgbClr val="FFFFFF"/>
    </a:solidFill>
    <a:ln>
      <a:noFill/>
    </a:ln>
    <a:effectLst/>
  </c:spPr>
</c:chartSpace>
</file>

<file path=xl/charts/chart2.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116918"/>
          <c:y val="0.0806613"/>
          <c:w val="0.983308"/>
          <c:h val="0.715066"/>
        </c:manualLayout>
      </c:layout>
      <c:lineChart>
        <c:grouping val="standard"/>
        <c:varyColors val="0"/>
        <c:ser>
          <c:idx val="0"/>
          <c:order val="0"/>
          <c:tx>
            <c:strRef>
              <c:f>'BLANK - Monthly Profit &amp; Loss -'!$B$9</c:f>
              <c:strCache>
                <c:ptCount val="1"/>
                <c:pt idx="0">
                  <c:v>GROSS PROFIT</c:v>
                </c:pt>
              </c:strCache>
            </c:strRef>
          </c:tx>
          <c:spPr>
            <a:solidFill>
              <a:srgbClr val="00B0F0"/>
            </a:solidFill>
            <a:ln w="25400" cap="rnd">
              <a:solidFill>
                <a:srgbClr val="00B0F0"/>
              </a:solidFill>
              <a:prstDash val="solid"/>
              <a:round/>
            </a:ln>
            <a:effectLst/>
          </c:spPr>
          <c:marker>
            <c:symbol val="circle"/>
            <c:size val="10"/>
            <c:spPr>
              <a:solidFill>
                <a:srgbClr val="00B0F0"/>
              </a:solidFill>
              <a:ln w="12700" cap="flat">
                <a:solidFill>
                  <a:srgbClr val="00B0F0"/>
                </a:solidFill>
                <a:prstDash val="solid"/>
                <a:round/>
              </a:ln>
              <a:effectLst/>
            </c:spPr>
          </c:marker>
          <c:dLbls>
            <c:numFmt formatCode="&quot; &quot;[$$-409]#,##0&quot; &quot;;&quot; &quot;[$$-409](#,##0);&quot; &quot;[$$-409]&quot;-&quot;??&quot; &quot;" sourceLinked="0"/>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cat>
            <c:strRef>
              <c:f>'BLANK - Monthly Profit &amp; Loss -'!$D$8:$O$8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'BLANK - Monthly Profit &amp; Loss -'!$D$9:$O$9</c:f>
              <c:numCache>
                <c:ptCount val="12"/>
                <c:pt idx="0">
                  <c:v>0.000000</c:v>
                </c:pt>
                <c:pt idx="1">
                  <c:v>0.000000</c:v>
                </c:pt>
                <c:pt idx="2">
                  <c:v>0.000000</c:v>
                </c:pt>
                <c:pt idx="3">
                  <c:v>0.000000</c:v>
                </c:pt>
                <c:pt idx="4">
                  <c:v>0.000000</c:v>
                </c:pt>
                <c:pt idx="5">
                  <c:v>0.000000</c:v>
                </c:pt>
                <c:pt idx="6">
                  <c:v>0.000000</c:v>
                </c:pt>
                <c:pt idx="7">
                  <c:v>0.000000</c:v>
                </c:pt>
                <c:pt idx="8">
                  <c:v>0.000000</c:v>
                </c:pt>
                <c:pt idx="9">
                  <c:v>0.000000</c:v>
                </c:pt>
                <c:pt idx="10">
                  <c:v>0.000000</c:v>
                </c:pt>
                <c:pt idx="11">
                  <c:v>0.000000</c:v>
                </c:pt>
              </c:numCache>
            </c:numRef>
          </c:val>
          <c:smooth val="0"/>
        </c:ser>
        <c:ser>
          <c:idx val="1"/>
          <c:order val="1"/>
          <c:tx>
            <c:strRef>
              <c:f>'BLANK - Monthly Profit &amp; Loss -'!$B$10</c:f>
              <c:strCache>
                <c:ptCount val="1"/>
                <c:pt idx="0">
                  <c:v>TOTAL EXPENSES</c:v>
                </c:pt>
              </c:strCache>
            </c:strRef>
          </c:tx>
          <c:spPr>
            <a:solidFill>
              <a:srgbClr val="92D050"/>
            </a:solidFill>
            <a:ln w="28575" cap="rnd">
              <a:solidFill>
                <a:srgbClr val="92D050"/>
              </a:solidFill>
              <a:prstDash val="solid"/>
              <a:round/>
            </a:ln>
            <a:effectLst/>
          </c:spPr>
          <c:marker>
            <c:symbol val="circle"/>
            <c:size val="10"/>
            <c:spPr>
              <a:solidFill>
                <a:srgbClr val="92D050"/>
              </a:solidFill>
              <a:ln w="9525" cap="flat">
                <a:solidFill>
                  <a:srgbClr val="00B050"/>
                </a:solidFill>
                <a:prstDash val="solid"/>
                <a:round/>
              </a:ln>
              <a:effectLst/>
            </c:spPr>
          </c:marker>
          <c:dLbls>
            <c:numFmt formatCode="&quot; &quot;[$$-409]#,##0&quot; &quot;;&quot; &quot;[$$-409](#,##0);&quot; &quot;[$$-409]&quot;-&quot;??&quot; &quot;" sourceLinked="0"/>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cat>
            <c:strRef>
              <c:f>'BLANK - Monthly Profit &amp; Loss -'!$D$8:$O$8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'BLANK - Monthly Profit &amp; Loss -'!$D$10:$O$10</c:f>
              <c:numCache>
                <c:ptCount val="12"/>
                <c:pt idx="0">
                  <c:v>0.000000</c:v>
                </c:pt>
                <c:pt idx="1">
                  <c:v>0.000000</c:v>
                </c:pt>
                <c:pt idx="2">
                  <c:v>0.000000</c:v>
                </c:pt>
                <c:pt idx="3">
                  <c:v>0.000000</c:v>
                </c:pt>
                <c:pt idx="4">
                  <c:v>0.000000</c:v>
                </c:pt>
                <c:pt idx="5">
                  <c:v>0.000000</c:v>
                </c:pt>
                <c:pt idx="6">
                  <c:v>0.000000</c:v>
                </c:pt>
                <c:pt idx="7">
                  <c:v>0.000000</c:v>
                </c:pt>
                <c:pt idx="8">
                  <c:v>0.000000</c:v>
                </c:pt>
                <c:pt idx="9">
                  <c:v>0.000000</c:v>
                </c:pt>
                <c:pt idx="10">
                  <c:v>0.000000</c:v>
                </c:pt>
                <c:pt idx="11">
                  <c:v>0.000000</c:v>
                </c:pt>
              </c:numCache>
            </c:numRef>
          </c:val>
          <c:smooth val="0"/>
        </c:ser>
        <c:ser>
          <c:idx val="2"/>
          <c:order val="2"/>
          <c:tx>
            <c:strRef>
              <c:f>'BLANK - Monthly Profit &amp; Loss -'!$B$11</c:f>
              <c:strCache>
                <c:ptCount val="1"/>
                <c:pt idx="0">
                  <c:v>PROFIT / LOSS</c:v>
                </c:pt>
              </c:strCache>
            </c:strRef>
          </c:tx>
          <c:spPr>
            <a:solidFill>
              <a:schemeClr val="accent4"/>
            </a:solidFill>
            <a:ln w="28575" cap="rnd">
              <a:solidFill>
                <a:schemeClr val="accent3"/>
              </a:solidFill>
              <a:prstDash val="sysDot"/>
              <a:round/>
            </a:ln>
            <a:effectLst/>
          </c:spPr>
          <c:marker>
            <c:symbol val="diamond"/>
            <c:size val="6"/>
            <c:spPr>
              <a:solidFill>
                <a:schemeClr val="accent4"/>
              </a:solidFill>
              <a:ln w="9525" cap="flat">
                <a:solidFill>
                  <a:schemeClr val="accent3"/>
                </a:solidFill>
                <a:prstDash val="solid"/>
                <a:round/>
              </a:ln>
              <a:effectLst/>
            </c:spPr>
          </c:marker>
          <c:dLbls>
            <c:numFmt formatCode="&quot; &quot;[$$-409]#,##0&quot; &quot;;&quot; &quot;[$$-409](#,##0);&quot; &quot;[$$-409]&quot;-&quot;??&quot; &quot;" sourceLinked="0"/>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cat>
            <c:strRef>
              <c:f>'BLANK - Monthly Profit &amp; Loss -'!$D$8:$O$8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'BLANK - Monthly Profit &amp; Loss -'!$D$11:$O$11</c:f>
              <c:numCache>
                <c:ptCount val="12"/>
                <c:pt idx="0">
                  <c:v>0.000000</c:v>
                </c:pt>
                <c:pt idx="1">
                  <c:v>0.000000</c:v>
                </c:pt>
                <c:pt idx="2">
                  <c:v>0.000000</c:v>
                </c:pt>
                <c:pt idx="3">
                  <c:v>0.000000</c:v>
                </c:pt>
                <c:pt idx="4">
                  <c:v>0.000000</c:v>
                </c:pt>
                <c:pt idx="5">
                  <c:v>0.000000</c:v>
                </c:pt>
                <c:pt idx="6">
                  <c:v>0.000000</c:v>
                </c:pt>
                <c:pt idx="7">
                  <c:v>0.000000</c:v>
                </c:pt>
                <c:pt idx="8">
                  <c:v>0.000000</c:v>
                </c:pt>
                <c:pt idx="9">
                  <c:v>0.000000</c:v>
                </c:pt>
                <c:pt idx="10">
                  <c:v>0.000000</c:v>
                </c:pt>
                <c:pt idx="11">
                  <c:v>0.000000</c:v>
                </c:pt>
              </c:numCache>
            </c:numRef>
          </c:val>
          <c:smooth val="0"/>
        </c:ser>
        <c:marker val="1"/>
        <c:axId val="2094734552"/>
        <c:axId val="2094734553"/>
      </c:lineChart>
      <c:catAx>
        <c:axId val="2094734552"/>
        <c:scaling>
          <c:orientation val="minMax"/>
        </c:scaling>
        <c:delete val="0"/>
        <c:axPos val="b"/>
        <c:numFmt formatCode="General" sourceLinked="1"/>
        <c:majorTickMark val="none"/>
        <c:minorTickMark val="none"/>
        <c:tickLblPos val="low"/>
        <c:spPr>
          <a:ln w="12700" cap="flat">
            <a:noFill/>
            <a:prstDash val="solid"/>
            <a:round/>
          </a:ln>
        </c:spPr>
        <c:txPr>
          <a:bodyPr rot="0"/>
          <a:lstStyle/>
          <a:p>
            <a:pPr>
              <a:defRPr b="0" i="0" strike="noStrike" sz="1000" u="none">
                <a:solidFill>
                  <a:srgbClr val="595959"/>
                </a:solidFill>
                <a:latin typeface="Century Gothic"/>
              </a:defRPr>
            </a:pPr>
          </a:p>
        </c:txPr>
        <c:crossAx val="2094734553"/>
        <c:crosses val="autoZero"/>
        <c:auto val="1"/>
        <c:lblAlgn val="ctr"/>
        <c:noMultiLvlLbl val="1"/>
      </c:catAx>
      <c:valAx>
        <c:axId val="2094734553"/>
        <c:scaling>
          <c:orientation val="minMax"/>
        </c:scaling>
        <c:delete val="0"/>
        <c:axPos val="l"/>
        <c:numFmt formatCode="General" sourceLinked="1"/>
        <c:majorTickMark val="none"/>
        <c:minorTickMark val="none"/>
        <c:tickLblPos val="none"/>
        <c:spPr>
          <a:ln w="12700" cap="flat">
            <a:noFill/>
            <a:prstDash val="solid"/>
            <a:round/>
          </a:ln>
        </c:spPr>
        <c:txPr>
          <a:bodyPr rot="0"/>
          <a:lstStyle/>
          <a:p>
            <a:pPr>
              <a:defRPr b="0" i="0" strike="noStrike" sz="1000" u="none">
                <a:solidFill>
                  <a:srgbClr val="000000"/>
                </a:solidFill>
                <a:latin typeface="Calibri"/>
              </a:defRPr>
            </a:pPr>
          </a:p>
        </c:txPr>
        <c:crossAx val="2094734552"/>
        <c:crosses val="autoZero"/>
        <c:crossBetween val="between"/>
        <c:majorUnit val="1"/>
        <c:minorUnit val="0.5"/>
      </c:valAx>
      <c:spPr>
        <a:noFill/>
        <a:ln w="12700" cap="flat">
          <a:noFill/>
          <a:miter lim="400000"/>
        </a:ln>
        <a:effectLst/>
      </c:spPr>
    </c:plotArea>
    <c:legend>
      <c:legendPos val="b"/>
      <c:layout>
        <c:manualLayout>
          <c:xMode val="edge"/>
          <c:yMode val="edge"/>
          <c:x val="0.260611"/>
          <c:y val="0.906839"/>
          <c:w val="0.438781"/>
          <c:h val="0.0931613"/>
        </c:manualLayout>
      </c:layout>
      <c:overlay val="1"/>
      <c:spPr>
        <a:noFill/>
        <a:ln w="12700" cap="flat">
          <a:noFill/>
          <a:miter lim="400000"/>
        </a:ln>
        <a:effectLst/>
      </c:spPr>
      <c:txPr>
        <a:bodyPr rot="0"/>
        <a:lstStyle/>
        <a:p>
          <a:pPr>
            <a:defRPr b="0" i="0" strike="noStrike" sz="1000" u="none">
              <a:solidFill>
                <a:srgbClr val="595959"/>
              </a:solidFill>
              <a:latin typeface="Century Gothic"/>
            </a:defRPr>
          </a:pPr>
        </a:p>
      </c:txPr>
    </c:legend>
    <c:plotVisOnly val="1"/>
    <c:dispBlanksAs val="gap"/>
  </c:chart>
  <c:spPr>
    <a:solidFill>
      <a:srgbClr val="FFFFFF"/>
    </a:solidFill>
    <a:ln>
      <a:noFill/>
    </a:ln>
    <a:effectLst/>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s>

</file>

<file path=xl/drawings/_rels/drawing2.xml.rels><?xml version="1.0" encoding="UTF-8"?>
<Relationships xmlns="http://schemas.openxmlformats.org/package/2006/relationships"><Relationship Id="rId1" Type="http://schemas.openxmlformats.org/officeDocument/2006/relationships/chart" Target="../charts/chart2.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xdr:col>
      <xdr:colOff>1201035</xdr:colOff>
      <xdr:row>0</xdr:row>
      <xdr:rowOff>513443</xdr:rowOff>
    </xdr:from>
    <xdr:to>
      <xdr:col>14</xdr:col>
      <xdr:colOff>566035</xdr:colOff>
      <xdr:row>7</xdr:row>
      <xdr:rowOff>2525</xdr:rowOff>
    </xdr:to>
    <xdr:graphicFrame>
      <xdr:nvGraphicFramePr>
        <xdr:cNvPr id="2" name="Chart 1"/>
        <xdr:cNvGraphicFramePr/>
      </xdr:nvGraphicFramePr>
      <xdr:xfrm>
        <a:off x="4185535" y="513443"/>
        <a:ext cx="10858501" cy="1889383"/>
      </xdr:xfrm>
      <a:graphic xmlns:a="http://schemas.openxmlformats.org/drawingml/2006/main">
        <a:graphicData uri="http://schemas.openxmlformats.org/drawingml/2006/chart">
          <c:chart xmlns:c="http://schemas.openxmlformats.org/drawingml/2006/chart" r:id="rId1"/>
        </a:graphicData>
      </a:graphic>
    </xdr:graphicFrame>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xdr:col>
      <xdr:colOff>1201035</xdr:colOff>
      <xdr:row>0</xdr:row>
      <xdr:rowOff>513443</xdr:rowOff>
    </xdr:from>
    <xdr:to>
      <xdr:col>15</xdr:col>
      <xdr:colOff>36439</xdr:colOff>
      <xdr:row>7</xdr:row>
      <xdr:rowOff>2525</xdr:rowOff>
    </xdr:to>
    <xdr:graphicFrame>
      <xdr:nvGraphicFramePr>
        <xdr:cNvPr id="4" name="Chart 1"/>
        <xdr:cNvGraphicFramePr/>
      </xdr:nvGraphicFramePr>
      <xdr:xfrm>
        <a:off x="4185535" y="513443"/>
        <a:ext cx="10862305" cy="1889383"/>
      </xdr:xfrm>
      <a:graphic xmlns:a="http://schemas.openxmlformats.org/drawingml/2006/main">
        <a:graphicData uri="http://schemas.openxmlformats.org/drawingml/2006/chart">
          <c:chart xmlns:c="http://schemas.openxmlformats.org/drawingml/2006/chart"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_rels/sheet5.xml.rels><?xml version="1.0" encoding="UTF-8"?>
<Relationships xmlns="http://schemas.openxmlformats.org/package/2006/relationships"><Relationship Id="rId1" Type="http://schemas.openxmlformats.org/officeDocument/2006/relationships/drawing" Target="../drawings/drawing2.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6</v>
      </c>
    </row>
    <row r="11">
      <c r="B11" t="s" s="3">
        <v>99</v>
      </c>
      <c r="C11" s="3"/>
      <c r="D11" s="3"/>
    </row>
    <row r="12">
      <c r="B12" s="4"/>
      <c r="C12" t="s" s="4">
        <v>5</v>
      </c>
      <c r="D12" t="s" s="5">
        <v>100</v>
      </c>
    </row>
    <row r="13">
      <c r="B13" t="s" s="3">
        <v>136</v>
      </c>
      <c r="C13" s="3"/>
      <c r="D13" s="3"/>
    </row>
    <row r="14">
      <c r="B14" s="4"/>
      <c r="C14" t="s" s="4">
        <v>5</v>
      </c>
      <c r="D14" t="s" s="5">
        <v>137</v>
      </c>
    </row>
    <row r="15">
      <c r="B15" t="s" s="3">
        <v>177</v>
      </c>
      <c r="C15" s="3"/>
      <c r="D15" s="3"/>
    </row>
    <row r="16">
      <c r="B16" s="4"/>
      <c r="C16" t="s" s="4">
        <v>5</v>
      </c>
      <c r="D16" t="s" s="5">
        <v>178</v>
      </c>
    </row>
    <row r="17">
      <c r="B17" t="s" s="3">
        <v>198</v>
      </c>
      <c r="C17" s="3"/>
      <c r="D17" s="3"/>
    </row>
    <row r="18">
      <c r="B18" s="4"/>
      <c r="C18" t="s" s="4">
        <v>5</v>
      </c>
      <c r="D18" t="s" s="5">
        <v>199</v>
      </c>
    </row>
  </sheetData>
  <mergeCells count="1">
    <mergeCell ref="B3:D3"/>
  </mergeCells>
  <hyperlinks>
    <hyperlink ref="D10" location="'SAMPLE - Monthly Profit &amp; Loss '!R1C1" tooltip="" display="SAMPLE - Monthly Profit &amp; Loss "/>
    <hyperlink ref="D12" location="'SAMPLE - Monthly Profit &amp; Loss-'!R1C1" tooltip="" display="SAMPLE - Monthly Profit &amp; Loss-"/>
    <hyperlink ref="D14" location="'SAMPLE - Profit &amp; Loss YTD - Ta'!R1C1" tooltip="" display="SAMPLE - Profit &amp; Loss YTD - Ta"/>
    <hyperlink ref="D16" location="'BLANK - Monthly Profit &amp; Loss -'!R1C1" tooltip="" display="BLANK - Monthly Profit &amp; Loss -"/>
    <hyperlink ref="D18" location="'BLANK - Profit &amp; Loss YTD - Tab'!R1C1" tooltip="" display="BLANK - Profit &amp; Loss YTD - Tab"/>
  </hyperlinks>
</worksheet>
</file>

<file path=xl/worksheets/sheet2.xml><?xml version="1.0" encoding="utf-8"?>
<worksheet xmlns:r="http://schemas.openxmlformats.org/officeDocument/2006/relationships" xmlns="http://schemas.openxmlformats.org/spreadsheetml/2006/main">
  <sheetPr>
    <pageSetUpPr fitToPage="1"/>
  </sheetPr>
  <dimension ref="A1:Y1045"/>
  <sheetViews>
    <sheetView workbookViewId="0" showGridLines="0" defaultGridColor="1"/>
  </sheetViews>
  <sheetFormatPr defaultColWidth="14.5" defaultRowHeight="15" customHeight="1" outlineLevelRow="0" outlineLevelCol="0"/>
  <cols>
    <col min="1" max="1" width="3.35156" style="6" customWidth="1"/>
    <col min="2" max="2" width="35.8516" style="6" customWidth="1"/>
    <col min="3" max="3" width="20.6406" style="6" customWidth="1"/>
    <col min="4" max="15" width="11.8516" style="6" customWidth="1"/>
    <col min="16" max="16" width="2.35156" style="6" customWidth="1"/>
    <col min="17" max="17" width="13.8516" style="6" customWidth="1"/>
    <col min="18" max="18" width="3.35156" style="6" customWidth="1"/>
    <col min="19" max="25" width="28.6719" style="6" customWidth="1"/>
    <col min="26" max="16384" width="14.5" style="6" customWidth="1"/>
  </cols>
  <sheetData>
    <row r="1" ht="45" customHeight="1">
      <c r="A1" s="7"/>
      <c r="B1" t="s" s="8">
        <v>7</v>
      </c>
      <c r="C1" s="9"/>
      <c r="D1" s="10"/>
      <c r="E1" s="10"/>
      <c r="F1" s="10"/>
      <c r="G1" s="10"/>
      <c r="H1" s="10"/>
      <c r="I1" s="10"/>
      <c r="J1" s="10"/>
      <c r="K1" s="10"/>
      <c r="L1" s="10"/>
      <c r="M1" s="10"/>
      <c r="N1" s="10"/>
      <c r="O1" s="10"/>
      <c r="P1" s="10"/>
      <c r="Q1" s="10"/>
      <c r="R1" s="10"/>
      <c r="S1" s="11"/>
      <c r="T1" s="11"/>
      <c r="U1" s="11"/>
      <c r="V1" s="11"/>
      <c r="W1" s="11"/>
      <c r="X1" s="11"/>
      <c r="Y1" s="12"/>
    </row>
    <row r="2" ht="22" customHeight="1">
      <c r="A2" s="13"/>
      <c r="B2" t="s" s="14">
        <v>8</v>
      </c>
      <c r="C2" s="15"/>
      <c r="D2" s="16"/>
      <c r="E2" s="17"/>
      <c r="F2" s="17"/>
      <c r="G2" s="17"/>
      <c r="H2" s="17"/>
      <c r="I2" s="17"/>
      <c r="J2" s="17"/>
      <c r="K2" s="17"/>
      <c r="L2" s="17"/>
      <c r="M2" s="17"/>
      <c r="N2" s="17"/>
      <c r="O2" s="17"/>
      <c r="P2" s="17"/>
      <c r="Q2" s="17"/>
      <c r="R2" s="18"/>
      <c r="S2" s="18"/>
      <c r="T2" s="18"/>
      <c r="U2" s="18"/>
      <c r="V2" s="18"/>
      <c r="W2" s="18"/>
      <c r="X2" s="18"/>
      <c r="Y2" s="19"/>
    </row>
    <row r="3" ht="35" customHeight="1">
      <c r="A3" s="20"/>
      <c r="B3" t="s" s="21">
        <v>9</v>
      </c>
      <c r="C3" s="22"/>
      <c r="D3" s="23"/>
      <c r="E3" s="24"/>
      <c r="F3" s="24"/>
      <c r="G3" s="24"/>
      <c r="H3" s="24"/>
      <c r="I3" s="24"/>
      <c r="J3" s="24"/>
      <c r="K3" s="24"/>
      <c r="L3" s="24"/>
      <c r="M3" s="24"/>
      <c r="N3" s="24"/>
      <c r="O3" s="24"/>
      <c r="P3" s="24"/>
      <c r="Q3" s="24"/>
      <c r="R3" s="25"/>
      <c r="S3" s="25"/>
      <c r="T3" s="25"/>
      <c r="U3" s="25"/>
      <c r="V3" s="25"/>
      <c r="W3" s="25"/>
      <c r="X3" s="25"/>
      <c r="Y3" s="26"/>
    </row>
    <row r="4" ht="15" customHeight="1">
      <c r="A4" s="27"/>
      <c r="B4" s="28"/>
      <c r="C4" s="29"/>
      <c r="D4" s="30"/>
      <c r="E4" s="30"/>
      <c r="F4" s="30"/>
      <c r="G4" s="30"/>
      <c r="H4" s="30"/>
      <c r="I4" s="30"/>
      <c r="J4" s="30"/>
      <c r="K4" s="30"/>
      <c r="L4" s="30"/>
      <c r="M4" s="30"/>
      <c r="N4" s="30"/>
      <c r="O4" s="30"/>
      <c r="P4" s="30"/>
      <c r="Q4" s="30"/>
      <c r="R4" s="31"/>
      <c r="S4" s="18"/>
      <c r="T4" s="18"/>
      <c r="U4" s="18"/>
      <c r="V4" s="18"/>
      <c r="W4" s="18"/>
      <c r="X4" s="18"/>
      <c r="Y4" s="19"/>
    </row>
    <row r="5" ht="22" customHeight="1">
      <c r="A5" s="13"/>
      <c r="B5" t="s" s="14">
        <v>10</v>
      </c>
      <c r="C5" s="15"/>
      <c r="D5" s="16"/>
      <c r="E5" s="17"/>
      <c r="F5" s="17"/>
      <c r="G5" s="17"/>
      <c r="H5" s="17"/>
      <c r="I5" s="17"/>
      <c r="J5" s="17"/>
      <c r="K5" s="17"/>
      <c r="L5" s="17"/>
      <c r="M5" s="17"/>
      <c r="N5" s="17"/>
      <c r="O5" s="17"/>
      <c r="P5" s="17"/>
      <c r="Q5" s="17"/>
      <c r="R5" s="18"/>
      <c r="S5" s="18"/>
      <c r="T5" s="18"/>
      <c r="U5" s="18"/>
      <c r="V5" s="18"/>
      <c r="W5" s="18"/>
      <c r="X5" s="18"/>
      <c r="Y5" s="19"/>
    </row>
    <row r="6" ht="35" customHeight="1">
      <c r="A6" s="20"/>
      <c r="B6" s="32">
        <v>45984</v>
      </c>
      <c r="C6" s="22"/>
      <c r="D6" s="23"/>
      <c r="E6" s="24"/>
      <c r="F6" s="24"/>
      <c r="G6" s="24"/>
      <c r="H6" s="24"/>
      <c r="I6" s="24"/>
      <c r="J6" s="24"/>
      <c r="K6" s="24"/>
      <c r="L6" s="24"/>
      <c r="M6" s="24"/>
      <c r="N6" s="24"/>
      <c r="O6" s="24"/>
      <c r="P6" s="24"/>
      <c r="Q6" s="24"/>
      <c r="R6" s="25"/>
      <c r="S6" s="25"/>
      <c r="T6" s="25"/>
      <c r="U6" s="25"/>
      <c r="V6" s="25"/>
      <c r="W6" s="25"/>
      <c r="X6" s="25"/>
      <c r="Y6" s="26"/>
    </row>
    <row r="7" ht="15" customHeight="1">
      <c r="A7" s="27"/>
      <c r="B7" s="33"/>
      <c r="C7" s="29"/>
      <c r="D7" s="34"/>
      <c r="E7" s="34"/>
      <c r="F7" s="34"/>
      <c r="G7" s="34"/>
      <c r="H7" s="34"/>
      <c r="I7" s="34"/>
      <c r="J7" s="34"/>
      <c r="K7" s="34"/>
      <c r="L7" s="34"/>
      <c r="M7" s="34"/>
      <c r="N7" s="34"/>
      <c r="O7" s="34"/>
      <c r="P7" s="30"/>
      <c r="Q7" s="34"/>
      <c r="R7" s="31"/>
      <c r="S7" s="18"/>
      <c r="T7" s="18"/>
      <c r="U7" s="18"/>
      <c r="V7" s="18"/>
      <c r="W7" s="18"/>
      <c r="X7" s="18"/>
      <c r="Y7" s="19"/>
    </row>
    <row r="8" ht="20" customHeight="1">
      <c r="A8" s="35"/>
      <c r="B8" s="36"/>
      <c r="C8" t="s" s="37">
        <v>11</v>
      </c>
      <c r="D8" t="s" s="37">
        <v>12</v>
      </c>
      <c r="E8" t="s" s="37">
        <v>13</v>
      </c>
      <c r="F8" t="s" s="37">
        <v>14</v>
      </c>
      <c r="G8" t="s" s="37">
        <v>15</v>
      </c>
      <c r="H8" t="s" s="37">
        <v>16</v>
      </c>
      <c r="I8" t="s" s="37">
        <v>17</v>
      </c>
      <c r="J8" t="s" s="37">
        <v>18</v>
      </c>
      <c r="K8" t="s" s="37">
        <v>19</v>
      </c>
      <c r="L8" t="s" s="37">
        <v>20</v>
      </c>
      <c r="M8" t="s" s="37">
        <v>21</v>
      </c>
      <c r="N8" t="s" s="37">
        <v>22</v>
      </c>
      <c r="O8" t="s" s="37">
        <v>23</v>
      </c>
      <c r="P8" s="38"/>
      <c r="Q8" t="s" s="37">
        <v>24</v>
      </c>
      <c r="R8" s="39"/>
      <c r="S8" s="25"/>
      <c r="T8" s="25"/>
      <c r="U8" s="25"/>
      <c r="V8" s="25"/>
      <c r="W8" s="25"/>
      <c r="X8" s="25"/>
      <c r="Y8" s="26"/>
    </row>
    <row r="9" ht="20" customHeight="1">
      <c r="A9" s="40"/>
      <c r="B9" t="s" s="41">
        <v>25</v>
      </c>
      <c r="C9" s="42"/>
      <c r="D9" s="43" cm="1">
        <f t="array" ref="D9">D39</f>
        <v>18640.8</v>
      </c>
      <c r="E9" s="43" cm="1">
        <f t="array" ref="E9">E39</f>
        <v>12440.4</v>
      </c>
      <c r="F9" s="43" cm="1">
        <f t="array" ref="F9">F39</f>
        <v>22052.4</v>
      </c>
      <c r="G9" s="43" cm="1">
        <f t="array" ref="G9">G39</f>
        <v>26091.6</v>
      </c>
      <c r="H9" s="43" cm="1">
        <f t="array" ref="H9">H39</f>
        <v>12633.2</v>
      </c>
      <c r="I9" s="43" cm="1">
        <f t="array" ref="I9">I39</f>
        <v>25394.4</v>
      </c>
      <c r="J9" s="43" cm="1">
        <f t="array" ref="J9">J39</f>
        <v>0</v>
      </c>
      <c r="K9" s="43" cm="1">
        <f t="array" ref="K9">K39</f>
        <v>0</v>
      </c>
      <c r="L9" s="43" cm="1">
        <f t="array" ref="L9">L39</f>
        <v>379.88</v>
      </c>
      <c r="M9" s="43" cm="1">
        <f t="array" ref="M9">M39</f>
        <v>1959.51</v>
      </c>
      <c r="N9" s="43" cm="1">
        <f t="array" ref="N9">N39</f>
        <v>4824.11</v>
      </c>
      <c r="O9" s="43" cm="1">
        <f t="array" ref="O9">O39</f>
        <v>7408.68</v>
      </c>
      <c r="P9" s="44"/>
      <c r="Q9" s="43" cm="1">
        <f t="array" ref="Q9">SUM(D9:O9)</f>
        <v>131824.98</v>
      </c>
      <c r="R9" s="39"/>
      <c r="S9" s="18"/>
      <c r="T9" s="18"/>
      <c r="U9" s="18"/>
      <c r="V9" s="18"/>
      <c r="W9" s="18"/>
      <c r="X9" s="31"/>
      <c r="Y9" s="45"/>
    </row>
    <row r="10" ht="20" customHeight="1">
      <c r="A10" s="40"/>
      <c r="B10" t="s" s="41">
        <v>26</v>
      </c>
      <c r="C10" s="42"/>
      <c r="D10" s="43" cm="1">
        <f t="array" ref="D10">D113</f>
        <v>13441.7</v>
      </c>
      <c r="E10" s="43" cm="1">
        <f t="array" ref="E10">E113</f>
        <v>9888.9</v>
      </c>
      <c r="F10" s="43" cm="1">
        <f t="array" ref="F10">F113</f>
        <v>16814.8</v>
      </c>
      <c r="G10" s="43" cm="1">
        <f t="array" ref="G10">G113</f>
        <v>18128.1</v>
      </c>
      <c r="H10" s="43" cm="1">
        <f t="array" ref="H10">H113</f>
        <v>13110</v>
      </c>
      <c r="I10" s="43" cm="1">
        <f t="array" ref="I10">I113</f>
        <v>20072.6</v>
      </c>
      <c r="J10" s="43" cm="1">
        <f t="array" ref="J10">J113</f>
        <v>0</v>
      </c>
      <c r="K10" s="43" cm="1">
        <f t="array" ref="K10">K113</f>
        <v>0</v>
      </c>
      <c r="L10" s="43" cm="1">
        <f t="array" ref="L10">L113</f>
        <v>0</v>
      </c>
      <c r="M10" s="43" cm="1">
        <f t="array" ref="M10">M113</f>
        <v>0</v>
      </c>
      <c r="N10" s="43" cm="1">
        <f t="array" ref="N10">N113</f>
        <v>0</v>
      </c>
      <c r="O10" s="43" cm="1">
        <f t="array" ref="O10">O113</f>
        <v>0</v>
      </c>
      <c r="P10" s="46"/>
      <c r="Q10" s="43" cm="1">
        <f t="array" ref="Q10">SUM(D10:O10)</f>
        <v>91456.100000000006</v>
      </c>
      <c r="R10" s="47"/>
      <c r="S10" s="18"/>
      <c r="T10" s="18"/>
      <c r="U10" s="18"/>
      <c r="V10" s="18"/>
      <c r="W10" s="18"/>
      <c r="X10" s="18"/>
      <c r="Y10" s="19"/>
    </row>
    <row r="11" ht="22" customHeight="1">
      <c r="A11" s="40"/>
      <c r="B11" t="s" s="48">
        <v>27</v>
      </c>
      <c r="C11" s="49"/>
      <c r="D11" s="50" cm="1">
        <f t="array" ref="D11">D9-D10</f>
        <v>5199.1</v>
      </c>
      <c r="E11" s="50" cm="1">
        <f t="array" ref="E11">E9-E10</f>
        <v>2551.5</v>
      </c>
      <c r="F11" s="50" cm="1">
        <f t="array" ref="F11">F9-F10</f>
        <v>5237.6</v>
      </c>
      <c r="G11" s="50" cm="1">
        <f t="array" ref="G11">G9-G10</f>
        <v>7963.5</v>
      </c>
      <c r="H11" s="50" cm="1">
        <f t="array" ref="H11">H9-H10</f>
        <v>-476.8</v>
      </c>
      <c r="I11" s="50" cm="1">
        <f t="array" ref="I11">I9-I10</f>
        <v>5321.8</v>
      </c>
      <c r="J11" s="50" cm="1">
        <f t="array" ref="J11">J9-J10</f>
        <v>0</v>
      </c>
      <c r="K11" s="50" cm="1">
        <f t="array" ref="K11">K9-K10</f>
        <v>0</v>
      </c>
      <c r="L11" s="50" cm="1">
        <f t="array" ref="L11">L9-L10</f>
        <v>379.88</v>
      </c>
      <c r="M11" s="50" cm="1">
        <f t="array" ref="M11">M9-M10</f>
        <v>1959.51</v>
      </c>
      <c r="N11" s="50" cm="1">
        <f t="array" ref="N11">N9-N10</f>
        <v>4824.11</v>
      </c>
      <c r="O11" s="50" cm="1">
        <f t="array" ref="O11">O9-O10</f>
        <v>7408.68</v>
      </c>
      <c r="P11" s="44"/>
      <c r="Q11" s="50" cm="1">
        <f t="array" ref="Q11">Q9-Q10</f>
        <v>40368.88</v>
      </c>
      <c r="R11" s="39"/>
      <c r="S11" s="18"/>
      <c r="T11" s="18"/>
      <c r="U11" s="18"/>
      <c r="V11" s="18"/>
      <c r="W11" s="18"/>
      <c r="X11" s="31"/>
      <c r="Y11" s="45"/>
    </row>
    <row r="12" ht="15" customHeight="1">
      <c r="A12" s="27"/>
      <c r="B12" s="51"/>
      <c r="C12" s="52"/>
      <c r="D12" s="52"/>
      <c r="E12" s="52"/>
      <c r="F12" s="52"/>
      <c r="G12" s="52"/>
      <c r="H12" s="52"/>
      <c r="I12" s="52"/>
      <c r="J12" s="52"/>
      <c r="K12" s="52"/>
      <c r="L12" s="52"/>
      <c r="M12" s="52"/>
      <c r="N12" s="52"/>
      <c r="O12" s="52"/>
      <c r="P12" s="18"/>
      <c r="Q12" s="52"/>
      <c r="R12" s="18"/>
      <c r="S12" s="18"/>
      <c r="T12" s="18"/>
      <c r="U12" s="18"/>
      <c r="V12" s="18"/>
      <c r="W12" s="18"/>
      <c r="X12" s="18"/>
      <c r="Y12" s="19"/>
    </row>
    <row r="13" ht="40.6" customHeight="1">
      <c r="A13" s="40"/>
      <c r="B13" t="s" s="53">
        <v>28</v>
      </c>
      <c r="C13" s="54"/>
      <c r="D13" s="55"/>
      <c r="E13" s="55"/>
      <c r="F13" s="55"/>
      <c r="G13" s="55"/>
      <c r="H13" s="55"/>
      <c r="I13" s="55"/>
      <c r="J13" s="55"/>
      <c r="K13" s="55"/>
      <c r="L13" s="55"/>
      <c r="M13" s="55"/>
      <c r="N13" s="55"/>
      <c r="O13" s="55"/>
      <c r="P13" s="18"/>
      <c r="Q13" s="55"/>
      <c r="R13" s="18"/>
      <c r="S13" s="18"/>
      <c r="T13" s="18"/>
      <c r="U13" s="18"/>
      <c r="V13" s="18"/>
      <c r="W13" s="18"/>
      <c r="X13" s="18"/>
      <c r="Y13" s="19"/>
    </row>
    <row r="14" ht="15" customHeight="1">
      <c r="A14" s="35"/>
      <c r="B14" s="56"/>
      <c r="C14" t="s" s="37">
        <v>11</v>
      </c>
      <c r="D14" t="s" s="37">
        <v>12</v>
      </c>
      <c r="E14" t="s" s="37">
        <v>13</v>
      </c>
      <c r="F14" t="s" s="37">
        <v>14</v>
      </c>
      <c r="G14" t="s" s="37">
        <v>15</v>
      </c>
      <c r="H14" t="s" s="37">
        <v>16</v>
      </c>
      <c r="I14" t="s" s="37">
        <v>17</v>
      </c>
      <c r="J14" t="s" s="37">
        <v>18</v>
      </c>
      <c r="K14" t="s" s="37">
        <v>19</v>
      </c>
      <c r="L14" t="s" s="37">
        <v>20</v>
      </c>
      <c r="M14" t="s" s="37">
        <v>21</v>
      </c>
      <c r="N14" t="s" s="37">
        <v>22</v>
      </c>
      <c r="O14" t="s" s="37">
        <v>23</v>
      </c>
      <c r="P14" s="38"/>
      <c r="Q14" t="s" s="37">
        <v>24</v>
      </c>
      <c r="R14" s="39"/>
      <c r="S14" s="25"/>
      <c r="T14" s="25"/>
      <c r="U14" s="25"/>
      <c r="V14" s="25"/>
      <c r="W14" s="25"/>
      <c r="X14" s="25"/>
      <c r="Y14" s="26"/>
    </row>
    <row r="15" ht="19.8" customHeight="1">
      <c r="A15" s="40"/>
      <c r="B15" t="s" s="57">
        <v>29</v>
      </c>
      <c r="C15" s="42"/>
      <c r="D15" s="58">
        <v>0</v>
      </c>
      <c r="E15" s="58">
        <v>0</v>
      </c>
      <c r="F15" s="58">
        <v>0</v>
      </c>
      <c r="G15" s="58">
        <v>0</v>
      </c>
      <c r="H15" s="58">
        <v>0</v>
      </c>
      <c r="I15" s="58">
        <v>0</v>
      </c>
      <c r="J15" s="58">
        <v>0</v>
      </c>
      <c r="K15" s="58">
        <v>0</v>
      </c>
      <c r="L15" s="58">
        <v>12</v>
      </c>
      <c r="M15" s="58">
        <v>49</v>
      </c>
      <c r="N15" s="58">
        <v>89</v>
      </c>
      <c r="O15" s="58">
        <v>132</v>
      </c>
      <c r="P15" s="44"/>
      <c r="Q15" s="58" cm="1">
        <f t="array" ref="Q15">SUM(D15:O15)</f>
        <v>282</v>
      </c>
      <c r="R15" s="39"/>
      <c r="S15" s="18"/>
      <c r="T15" s="18"/>
      <c r="U15" s="18"/>
      <c r="V15" s="18"/>
      <c r="W15" s="18"/>
      <c r="X15" s="31"/>
      <c r="Y15" s="45"/>
    </row>
    <row r="16" ht="19" customHeight="1">
      <c r="A16" s="40"/>
      <c r="B16" t="s" s="57">
        <v>30</v>
      </c>
      <c r="C16" s="42"/>
      <c r="D16" s="58">
        <v>0</v>
      </c>
      <c r="E16" s="58">
        <v>0</v>
      </c>
      <c r="F16" s="58">
        <v>0</v>
      </c>
      <c r="G16" s="58">
        <v>0</v>
      </c>
      <c r="H16" s="58">
        <v>0</v>
      </c>
      <c r="I16" s="58">
        <v>0</v>
      </c>
      <c r="J16" s="58">
        <v>0</v>
      </c>
      <c r="K16" s="58">
        <v>0</v>
      </c>
      <c r="L16" s="58">
        <v>4</v>
      </c>
      <c r="M16" s="58">
        <v>16</v>
      </c>
      <c r="N16" s="58">
        <v>51</v>
      </c>
      <c r="O16" s="58">
        <v>78</v>
      </c>
      <c r="P16" s="46"/>
      <c r="Q16" s="58" cm="1">
        <f t="array" ref="Q16">SUM(D16:O16)</f>
        <v>149</v>
      </c>
      <c r="R16" s="47"/>
      <c r="S16" s="18"/>
      <c r="T16" s="18"/>
      <c r="U16" s="18"/>
      <c r="V16" s="18"/>
      <c r="W16" s="18"/>
      <c r="X16" s="18"/>
      <c r="Y16" s="19"/>
    </row>
    <row r="17" ht="19" customHeight="1">
      <c r="A17" s="40"/>
      <c r="B17" t="s" s="57">
        <v>31</v>
      </c>
      <c r="C17" s="42"/>
      <c r="D17" s="58">
        <v>0</v>
      </c>
      <c r="E17" s="58">
        <v>0</v>
      </c>
      <c r="F17" s="58">
        <v>0</v>
      </c>
      <c r="G17" s="58">
        <v>0</v>
      </c>
      <c r="H17" s="58">
        <v>0</v>
      </c>
      <c r="I17" s="58">
        <v>0</v>
      </c>
      <c r="J17" s="58">
        <v>0</v>
      </c>
      <c r="K17" s="58">
        <v>0</v>
      </c>
      <c r="L17" s="58">
        <v>0</v>
      </c>
      <c r="M17" s="58">
        <v>7</v>
      </c>
      <c r="N17" s="58">
        <v>21</v>
      </c>
      <c r="O17" s="58">
        <v>34</v>
      </c>
      <c r="P17" s="46"/>
      <c r="Q17" s="58" cm="1">
        <f t="array" ref="Q17">SUM(D17:O17)</f>
        <v>62</v>
      </c>
      <c r="R17" s="47"/>
      <c r="S17" s="18"/>
      <c r="T17" s="18"/>
      <c r="U17" s="18"/>
      <c r="V17" s="18"/>
      <c r="W17" s="18"/>
      <c r="X17" s="18"/>
      <c r="Y17" s="19"/>
    </row>
    <row r="18" ht="19" customHeight="1">
      <c r="A18" s="40"/>
      <c r="B18" t="s" s="57">
        <v>32</v>
      </c>
      <c r="C18" s="42"/>
      <c r="D18" s="58">
        <v>23</v>
      </c>
      <c r="E18" s="58">
        <v>31</v>
      </c>
      <c r="F18" s="58">
        <v>12</v>
      </c>
      <c r="G18" s="58">
        <v>7</v>
      </c>
      <c r="H18" s="58">
        <v>4</v>
      </c>
      <c r="I18" s="58">
        <v>26</v>
      </c>
      <c r="J18" s="58">
        <v>0</v>
      </c>
      <c r="K18" s="58">
        <v>0</v>
      </c>
      <c r="L18" s="58">
        <v>0</v>
      </c>
      <c r="M18" s="58">
        <v>0</v>
      </c>
      <c r="N18" s="58">
        <v>0</v>
      </c>
      <c r="O18" s="58">
        <v>0</v>
      </c>
      <c r="P18" s="46"/>
      <c r="Q18" s="58" cm="1">
        <f t="array" ref="Q18">SUM(D18:O18)</f>
        <v>103</v>
      </c>
      <c r="R18" s="47"/>
      <c r="S18" s="18"/>
      <c r="T18" s="18"/>
      <c r="U18" s="18"/>
      <c r="V18" s="18"/>
      <c r="W18" s="18"/>
      <c r="X18" s="18"/>
      <c r="Y18" s="19"/>
    </row>
    <row r="19" ht="19" customHeight="1">
      <c r="A19" s="40"/>
      <c r="B19" t="s" s="57">
        <v>33</v>
      </c>
      <c r="C19" s="42"/>
      <c r="D19" s="58">
        <v>8</v>
      </c>
      <c r="E19" s="58">
        <v>4</v>
      </c>
      <c r="F19" s="58">
        <v>9</v>
      </c>
      <c r="G19" s="58">
        <v>13</v>
      </c>
      <c r="H19" s="58">
        <v>3</v>
      </c>
      <c r="I19" s="58">
        <v>7</v>
      </c>
      <c r="J19" s="58">
        <v>0</v>
      </c>
      <c r="K19" s="58">
        <v>0</v>
      </c>
      <c r="L19" s="58">
        <v>0</v>
      </c>
      <c r="M19" s="58">
        <v>0</v>
      </c>
      <c r="N19" s="58">
        <v>0</v>
      </c>
      <c r="O19" s="58">
        <v>0</v>
      </c>
      <c r="P19" s="46"/>
      <c r="Q19" s="58" cm="1">
        <f t="array" ref="Q19">SUM(D19:O19)</f>
        <v>44</v>
      </c>
      <c r="R19" s="47"/>
      <c r="S19" s="18"/>
      <c r="T19" s="18"/>
      <c r="U19" s="18"/>
      <c r="V19" s="18"/>
      <c r="W19" s="18"/>
      <c r="X19" s="18"/>
      <c r="Y19" s="19"/>
    </row>
    <row r="20" ht="19" customHeight="1">
      <c r="A20" s="40"/>
      <c r="B20" t="s" s="57">
        <v>34</v>
      </c>
      <c r="C20" s="42"/>
      <c r="D20" s="58">
        <v>2</v>
      </c>
      <c r="E20" s="58">
        <v>1</v>
      </c>
      <c r="F20" s="58">
        <v>6</v>
      </c>
      <c r="G20" s="58">
        <v>4</v>
      </c>
      <c r="H20" s="58">
        <v>8</v>
      </c>
      <c r="I20" s="58">
        <v>11</v>
      </c>
      <c r="J20" s="58">
        <v>0</v>
      </c>
      <c r="K20" s="58">
        <v>0</v>
      </c>
      <c r="L20" s="58">
        <v>0</v>
      </c>
      <c r="M20" s="58">
        <v>0</v>
      </c>
      <c r="N20" s="58">
        <v>0</v>
      </c>
      <c r="O20" s="58">
        <v>0</v>
      </c>
      <c r="P20" s="46"/>
      <c r="Q20" s="58" cm="1">
        <f t="array" ref="Q20">SUM(D20:O20)</f>
        <v>32</v>
      </c>
      <c r="R20" s="47"/>
      <c r="S20" s="18"/>
      <c r="T20" s="18"/>
      <c r="U20" s="18"/>
      <c r="V20" s="18"/>
      <c r="W20" s="18"/>
      <c r="X20" s="18"/>
      <c r="Y20" s="19"/>
    </row>
    <row r="21" ht="20.6" customHeight="1">
      <c r="A21" s="40"/>
      <c r="B21" t="s" s="59">
        <v>35</v>
      </c>
      <c r="C21" s="49"/>
      <c r="D21" s="60" cm="1">
        <f t="array" ref="D21">SUM(D15,D17,D18,D16,D19,D20)</f>
        <v>33</v>
      </c>
      <c r="E21" s="60" cm="1">
        <f t="array" ref="E21">SUM(E15,E17,E18,E16,E19,E20)</f>
        <v>36</v>
      </c>
      <c r="F21" s="60" cm="1">
        <f t="array" ref="F21">SUM(F15,F17,F18,F16,F19,F20)</f>
        <v>27</v>
      </c>
      <c r="G21" s="60" cm="1">
        <f t="array" ref="G21">SUM(G15,G17,G18,G16,G19,G20)</f>
        <v>24</v>
      </c>
      <c r="H21" s="60" cm="1">
        <f t="array" ref="H21">SUM(H15,H17,H18,H16,H19,H20)</f>
        <v>15</v>
      </c>
      <c r="I21" s="60" cm="1">
        <f t="array" ref="I21">SUM(I15,I17,I18,I16,I19,I20)</f>
        <v>44</v>
      </c>
      <c r="J21" s="60" cm="1">
        <f t="array" ref="J21">SUM(J15,J17,J18,J16,J19,J20)</f>
        <v>0</v>
      </c>
      <c r="K21" s="60" cm="1">
        <f t="array" ref="K21">SUM(K15,K17,K18,K16,K19,K20)</f>
        <v>0</v>
      </c>
      <c r="L21" s="60" cm="1">
        <f t="array" ref="L21">SUM(L15,L17,L18,L16,L19,L20)</f>
        <v>16</v>
      </c>
      <c r="M21" s="60" cm="1">
        <f t="array" ref="M21">SUM(M15,M17,M18,M16,M19,M20)</f>
        <v>72</v>
      </c>
      <c r="N21" s="60" cm="1">
        <f t="array" ref="N21">SUM(N15,N17,N18,N16,N19,N20)</f>
        <v>161</v>
      </c>
      <c r="O21" s="60" cm="1">
        <f t="array" ref="O21">SUM(O15,O17,O18,O16,O19,O20)</f>
        <v>244</v>
      </c>
      <c r="P21" s="46"/>
      <c r="Q21" s="60" cm="1">
        <f t="array" ref="Q21">SUM(Q15,Q16,Q17,Q18,Q19,Q20)</f>
        <v>672</v>
      </c>
      <c r="R21" s="39"/>
      <c r="S21" s="18"/>
      <c r="T21" s="18"/>
      <c r="U21" s="18"/>
      <c r="V21" s="18"/>
      <c r="W21" s="18"/>
      <c r="X21" s="31"/>
      <c r="Y21" s="45"/>
    </row>
    <row r="22" ht="20" customHeight="1">
      <c r="A22" s="27"/>
      <c r="B22" s="52"/>
      <c r="C22" s="61"/>
      <c r="D22" s="52"/>
      <c r="E22" s="52"/>
      <c r="F22" s="52"/>
      <c r="G22" s="52"/>
      <c r="H22" s="52"/>
      <c r="I22" s="52"/>
      <c r="J22" s="52"/>
      <c r="K22" s="52"/>
      <c r="L22" s="52"/>
      <c r="M22" s="52"/>
      <c r="N22" s="52"/>
      <c r="O22" s="52"/>
      <c r="P22" s="62"/>
      <c r="Q22" s="52"/>
      <c r="R22" s="31"/>
      <c r="S22" s="18"/>
      <c r="T22" s="18"/>
      <c r="U22" s="18"/>
      <c r="V22" s="18"/>
      <c r="W22" s="18"/>
      <c r="X22" s="31"/>
      <c r="Y22" s="45"/>
    </row>
    <row r="23" ht="20" customHeight="1">
      <c r="A23" s="27"/>
      <c r="B23" t="s" s="63">
        <v>36</v>
      </c>
      <c r="C23" s="64"/>
      <c r="D23" s="64"/>
      <c r="E23" s="64"/>
      <c r="F23" s="64"/>
      <c r="G23" s="64"/>
      <c r="H23" s="64"/>
      <c r="I23" s="64"/>
      <c r="J23" s="64"/>
      <c r="K23" s="64"/>
      <c r="L23" s="64"/>
      <c r="M23" s="64"/>
      <c r="N23" s="64"/>
      <c r="O23" s="64"/>
      <c r="P23" s="65"/>
      <c r="Q23" s="64"/>
      <c r="R23" s="31"/>
      <c r="S23" s="18"/>
      <c r="T23" s="18"/>
      <c r="U23" s="18"/>
      <c r="V23" s="18"/>
      <c r="W23" s="18"/>
      <c r="X23" s="18"/>
      <c r="Y23" s="19"/>
    </row>
    <row r="24" ht="20" customHeight="1">
      <c r="A24" s="20"/>
      <c r="B24" t="s" s="66">
        <v>37</v>
      </c>
      <c r="C24" t="s" s="37">
        <v>11</v>
      </c>
      <c r="D24" t="s" s="67">
        <v>12</v>
      </c>
      <c r="E24" t="s" s="67">
        <v>13</v>
      </c>
      <c r="F24" t="s" s="67">
        <v>14</v>
      </c>
      <c r="G24" t="s" s="67">
        <v>15</v>
      </c>
      <c r="H24" t="s" s="67">
        <v>16</v>
      </c>
      <c r="I24" t="s" s="67">
        <v>17</v>
      </c>
      <c r="J24" t="s" s="67">
        <v>18</v>
      </c>
      <c r="K24" t="s" s="67">
        <v>19</v>
      </c>
      <c r="L24" t="s" s="67">
        <v>20</v>
      </c>
      <c r="M24" t="s" s="67">
        <v>21</v>
      </c>
      <c r="N24" t="s" s="67">
        <v>22</v>
      </c>
      <c r="O24" t="s" s="67">
        <v>23</v>
      </c>
      <c r="P24" s="38"/>
      <c r="Q24" t="s" s="67">
        <v>24</v>
      </c>
      <c r="R24" s="39"/>
      <c r="S24" s="25"/>
      <c r="T24" s="25"/>
      <c r="U24" s="25"/>
      <c r="V24" s="25"/>
      <c r="W24" s="25"/>
      <c r="X24" s="25"/>
      <c r="Y24" s="26"/>
    </row>
    <row r="25" ht="20" customHeight="1">
      <c r="A25" s="40"/>
      <c r="B25" t="s" s="68">
        <v>29</v>
      </c>
      <c r="C25" s="69"/>
      <c r="D25" s="70" cm="1">
        <f t="array" ref="D25">SUM(19.99*D15)</f>
        <v>0</v>
      </c>
      <c r="E25" s="70" cm="1">
        <f t="array" ref="E25">SUM(19.99*E15)</f>
        <v>0</v>
      </c>
      <c r="F25" s="70" cm="1">
        <f t="array" ref="F25">SUM(19.99*F15)</f>
        <v>0</v>
      </c>
      <c r="G25" s="70" cm="1">
        <f t="array" ref="G25">SUM(19.99*G15)</f>
        <v>0</v>
      </c>
      <c r="H25" s="70" cm="1">
        <f t="array" ref="H25">SUM(19.99*H15)</f>
        <v>0</v>
      </c>
      <c r="I25" s="70" cm="1">
        <f t="array" ref="I25">SUM(19.99*I15)</f>
        <v>0</v>
      </c>
      <c r="J25" s="70" cm="1">
        <f t="array" ref="J25">SUM(19.99*J15)</f>
        <v>0</v>
      </c>
      <c r="K25" s="70" cm="1">
        <f t="array" ref="K25">SUM(19.99*K15)</f>
        <v>0</v>
      </c>
      <c r="L25" s="70" cm="1">
        <f t="array" ref="L25">SUM(19.99*L15)</f>
        <v>239.88</v>
      </c>
      <c r="M25" s="70" cm="1">
        <f t="array" ref="M25">SUM(19.99*M15)</f>
        <v>979.51</v>
      </c>
      <c r="N25" s="70" cm="1">
        <f t="array" ref="N25">SUM(19.99*N15)</f>
        <v>1779.11</v>
      </c>
      <c r="O25" s="70" cm="1">
        <f t="array" ref="O25">SUM(19.99*O15)</f>
        <v>2638.68</v>
      </c>
      <c r="P25" s="44"/>
      <c r="Q25" s="70" cm="1">
        <f t="array" ref="Q25">SUM(D25:O25)</f>
        <v>5637.18</v>
      </c>
      <c r="R25" s="39"/>
      <c r="S25" s="18"/>
      <c r="T25" s="18"/>
      <c r="U25" s="18"/>
      <c r="V25" s="18"/>
      <c r="W25" s="18"/>
      <c r="X25" s="31"/>
      <c r="Y25" s="45"/>
    </row>
    <row r="26" ht="20" customHeight="1">
      <c r="A26" s="40"/>
      <c r="B26" t="s" s="68">
        <v>30</v>
      </c>
      <c r="C26" s="69"/>
      <c r="D26" s="70" cm="1">
        <f t="array" ref="D26">SUM(35*D16)</f>
        <v>0</v>
      </c>
      <c r="E26" s="70" cm="1">
        <f t="array" ref="E26">SUM(35*E16)</f>
        <v>0</v>
      </c>
      <c r="F26" s="70" cm="1">
        <f t="array" ref="F26">SUM(35*F16)</f>
        <v>0</v>
      </c>
      <c r="G26" s="70" cm="1">
        <f t="array" ref="G26">SUM(35*G16)</f>
        <v>0</v>
      </c>
      <c r="H26" s="70" cm="1">
        <f t="array" ref="H26">SUM(35*H16)</f>
        <v>0</v>
      </c>
      <c r="I26" s="70" cm="1">
        <f t="array" ref="I26">SUM(35*I16)</f>
        <v>0</v>
      </c>
      <c r="J26" s="70" cm="1">
        <f t="array" ref="J26">SUM(35*J16)</f>
        <v>0</v>
      </c>
      <c r="K26" s="70" cm="1">
        <f t="array" ref="K26">SUM(35*K16)</f>
        <v>0</v>
      </c>
      <c r="L26" s="70" cm="1">
        <f t="array" ref="L26">SUM(35*L16)</f>
        <v>140</v>
      </c>
      <c r="M26" s="70" cm="1">
        <f t="array" ref="M26">SUM(35*M16)</f>
        <v>560</v>
      </c>
      <c r="N26" s="70" cm="1">
        <f t="array" ref="N26">SUM(35*N16)</f>
        <v>1785</v>
      </c>
      <c r="O26" s="70" cm="1">
        <f t="array" ref="O26">SUM(35*O16)</f>
        <v>2730</v>
      </c>
      <c r="P26" s="44"/>
      <c r="Q26" s="70" cm="1">
        <f t="array" ref="Q26">SUM(D26:O26)</f>
        <v>5215</v>
      </c>
      <c r="R26" s="39"/>
      <c r="S26" s="18"/>
      <c r="T26" s="18"/>
      <c r="U26" s="18"/>
      <c r="V26" s="18"/>
      <c r="W26" s="18"/>
      <c r="X26" s="31"/>
      <c r="Y26" s="45"/>
    </row>
    <row r="27" ht="20" customHeight="1">
      <c r="A27" s="40"/>
      <c r="B27" t="s" s="68">
        <v>31</v>
      </c>
      <c r="C27" s="69"/>
      <c r="D27" s="70" cm="1">
        <f t="array" ref="D27">SUM(60*D17)</f>
        <v>0</v>
      </c>
      <c r="E27" s="70" cm="1">
        <f t="array" ref="E27">SUM(60*E17)</f>
        <v>0</v>
      </c>
      <c r="F27" s="70" cm="1">
        <f t="array" ref="F27">SUM(60*F17)</f>
        <v>0</v>
      </c>
      <c r="G27" s="70" cm="1">
        <f t="array" ref="G27">SUM(60*G17)</f>
        <v>0</v>
      </c>
      <c r="H27" s="70" cm="1">
        <f t="array" ref="H27">SUM(60*H17)</f>
        <v>0</v>
      </c>
      <c r="I27" s="70" cm="1">
        <f t="array" ref="I27">SUM(60*I17)</f>
        <v>0</v>
      </c>
      <c r="J27" s="70" cm="1">
        <f t="array" ref="J27">SUM(60*J17)</f>
        <v>0</v>
      </c>
      <c r="K27" s="70" cm="1">
        <f t="array" ref="K27">SUM(60*K17)</f>
        <v>0</v>
      </c>
      <c r="L27" s="70" cm="1">
        <f t="array" ref="L27">SUM(60*L17)</f>
        <v>0</v>
      </c>
      <c r="M27" s="70" cm="1">
        <f t="array" ref="M27">SUM(60*M17)</f>
        <v>420</v>
      </c>
      <c r="N27" s="70" cm="1">
        <f t="array" ref="N27">SUM(60*N17)</f>
        <v>1260</v>
      </c>
      <c r="O27" s="70" cm="1">
        <f t="array" ref="O27">SUM(60*O17)</f>
        <v>2040</v>
      </c>
      <c r="P27" s="44"/>
      <c r="Q27" s="70" cm="1">
        <f t="array" ref="Q27">SUM(D27:O27)</f>
        <v>3720</v>
      </c>
      <c r="R27" s="39"/>
      <c r="S27" s="18"/>
      <c r="T27" s="18"/>
      <c r="U27" s="18"/>
      <c r="V27" s="18"/>
      <c r="W27" s="18"/>
      <c r="X27" s="31"/>
      <c r="Y27" s="45"/>
    </row>
    <row r="28" ht="20" customHeight="1">
      <c r="A28" s="40"/>
      <c r="B28" t="s" s="68">
        <v>32</v>
      </c>
      <c r="C28" s="71"/>
      <c r="D28" s="70" cm="1">
        <f t="array" ref="D28">SUM(160*D18)</f>
        <v>3680</v>
      </c>
      <c r="E28" s="70" cm="1">
        <f t="array" ref="E28">SUM(160*E18)</f>
        <v>4960</v>
      </c>
      <c r="F28" s="70" cm="1">
        <f t="array" ref="F28">SUM(160*F18)</f>
        <v>1920</v>
      </c>
      <c r="G28" s="70" cm="1">
        <f t="array" ref="G28">SUM(160*G18)</f>
        <v>1120</v>
      </c>
      <c r="H28" s="70" cm="1">
        <f t="array" ref="H28">SUM(160*H18)</f>
        <v>640</v>
      </c>
      <c r="I28" s="70" cm="1">
        <f t="array" ref="I28">SUM(160*I18)</f>
        <v>4160</v>
      </c>
      <c r="J28" s="70" cm="1">
        <f t="array" ref="J28">SUM(160*J18)</f>
        <v>0</v>
      </c>
      <c r="K28" s="70" cm="1">
        <f t="array" ref="K28">SUM(160*K18)</f>
        <v>0</v>
      </c>
      <c r="L28" s="70" cm="1">
        <f t="array" ref="L28">SUM(160*L18)</f>
        <v>0</v>
      </c>
      <c r="M28" s="70" cm="1">
        <f t="array" ref="M28">SUM(160*M18)</f>
        <v>0</v>
      </c>
      <c r="N28" s="70" cm="1">
        <f t="array" ref="N28">SUM(160*N18)</f>
        <v>0</v>
      </c>
      <c r="O28" s="70" cm="1">
        <f t="array" ref="O28">SUM(160*O18)</f>
        <v>0</v>
      </c>
      <c r="P28" s="44"/>
      <c r="Q28" s="70" cm="1">
        <f t="array" ref="Q28">SUM(D28:O28)</f>
        <v>16480</v>
      </c>
      <c r="R28" s="39"/>
      <c r="S28" s="18"/>
      <c r="T28" s="18"/>
      <c r="U28" s="18"/>
      <c r="V28" s="18"/>
      <c r="W28" s="18"/>
      <c r="X28" s="31"/>
      <c r="Y28" s="45"/>
    </row>
    <row r="29" ht="20" customHeight="1">
      <c r="A29" s="40"/>
      <c r="B29" t="s" s="68">
        <v>33</v>
      </c>
      <c r="C29" s="71"/>
      <c r="D29" s="70" cm="1">
        <f t="array" ref="D29">SUM(1650*D19)</f>
        <v>13200</v>
      </c>
      <c r="E29" s="70" cm="1">
        <f t="array" ref="E29">SUM(1650*E19)</f>
        <v>6600</v>
      </c>
      <c r="F29" s="70" cm="1">
        <f t="array" ref="F29">SUM(1650*F19)</f>
        <v>14850</v>
      </c>
      <c r="G29" s="70" cm="1">
        <f t="array" ref="G29">SUM(1650*G19)</f>
        <v>21450</v>
      </c>
      <c r="H29" s="70" cm="1">
        <f t="array" ref="H29">SUM(1650*H19)</f>
        <v>4950</v>
      </c>
      <c r="I29" s="70" cm="1">
        <f t="array" ref="I29">SUM(1650*I19)</f>
        <v>11550</v>
      </c>
      <c r="J29" s="70" cm="1">
        <f t="array" ref="J29">SUM(1650*J19)</f>
        <v>0</v>
      </c>
      <c r="K29" s="70" cm="1">
        <f t="array" ref="K29">SUM(1650*K19)</f>
        <v>0</v>
      </c>
      <c r="L29" s="70" cm="1">
        <f t="array" ref="L29">SUM(1650*L19)</f>
        <v>0</v>
      </c>
      <c r="M29" s="70" cm="1">
        <f t="array" ref="M29">SUM(1650*M19)</f>
        <v>0</v>
      </c>
      <c r="N29" s="70" cm="1">
        <f t="array" ref="N29">SUM(1650*N19)</f>
        <v>0</v>
      </c>
      <c r="O29" s="70" cm="1">
        <f t="array" ref="O29">SUM(1650*O19)</f>
        <v>0</v>
      </c>
      <c r="P29" s="44"/>
      <c r="Q29" s="70" cm="1">
        <f t="array" ref="Q29">SUM(D29:O29)</f>
        <v>72600</v>
      </c>
      <c r="R29" s="39"/>
      <c r="S29" s="18"/>
      <c r="T29" s="18"/>
      <c r="U29" s="18"/>
      <c r="V29" s="18"/>
      <c r="W29" s="18"/>
      <c r="X29" s="31"/>
      <c r="Y29" s="45"/>
    </row>
    <row r="30" ht="20" customHeight="1">
      <c r="A30" s="40"/>
      <c r="B30" t="s" s="68">
        <v>34</v>
      </c>
      <c r="C30" s="71"/>
      <c r="D30" s="70" cm="1">
        <f t="array" ref="D30">SUM(880.4*D20)</f>
        <v>1760.8</v>
      </c>
      <c r="E30" s="70" cm="1">
        <f t="array" ref="E30">SUM(880.4*E20)</f>
        <v>880.4</v>
      </c>
      <c r="F30" s="70" cm="1">
        <f t="array" ref="F30">SUM(880.4*F20)</f>
        <v>5282.4</v>
      </c>
      <c r="G30" s="70" cm="1">
        <f t="array" ref="G30">SUM(880.4*G20)</f>
        <v>3521.6</v>
      </c>
      <c r="H30" s="70" cm="1">
        <f t="array" ref="H30">SUM(880.4*H20)</f>
        <v>7043.2</v>
      </c>
      <c r="I30" s="70" cm="1">
        <f t="array" ref="I30">SUM(880.4*I20)</f>
        <v>9684.4</v>
      </c>
      <c r="J30" s="70" cm="1">
        <f t="array" ref="J30">SUM(880.4*J20)</f>
        <v>0</v>
      </c>
      <c r="K30" s="70" cm="1">
        <f t="array" ref="K30">SUM(880.4*K20)</f>
        <v>0</v>
      </c>
      <c r="L30" s="70" cm="1">
        <f t="array" ref="L30">SUM(880.4*L20)</f>
        <v>0</v>
      </c>
      <c r="M30" s="70" cm="1">
        <f t="array" ref="M30">SUM(880.4*M20)</f>
        <v>0</v>
      </c>
      <c r="N30" s="70" cm="1">
        <f t="array" ref="N30">SUM(880.4*N20)</f>
        <v>0</v>
      </c>
      <c r="O30" s="70" cm="1">
        <f t="array" ref="O30">SUM(880.4*O20)</f>
        <v>0</v>
      </c>
      <c r="P30" s="44"/>
      <c r="Q30" s="70" cm="1">
        <f t="array" ref="Q30">SUM(D30:O30)</f>
        <v>28172.8</v>
      </c>
      <c r="R30" s="39"/>
      <c r="S30" s="18"/>
      <c r="T30" s="18"/>
      <c r="U30" s="18"/>
      <c r="V30" s="18"/>
      <c r="W30" s="18"/>
      <c r="X30" s="31"/>
      <c r="Y30" s="45"/>
    </row>
    <row r="31" ht="20" customHeight="1">
      <c r="A31" s="40"/>
      <c r="B31" t="s" s="72">
        <v>38</v>
      </c>
      <c r="C31" s="73"/>
      <c r="D31" s="43" cm="1">
        <f t="array" ref="D31">SUM(D25:D30)</f>
        <v>18640.8</v>
      </c>
      <c r="E31" s="43" cm="1">
        <f t="array" ref="E31">SUM(E25:E30)</f>
        <v>12440.4</v>
      </c>
      <c r="F31" s="43" cm="1">
        <f t="array" ref="F31">SUM(F25:F30)</f>
        <v>22052.4</v>
      </c>
      <c r="G31" s="43" cm="1">
        <f t="array" ref="G31">SUM(G25:G30)</f>
        <v>26091.6</v>
      </c>
      <c r="H31" s="43" cm="1">
        <f t="array" ref="H31">SUM(H25:H30)</f>
        <v>12633.2</v>
      </c>
      <c r="I31" s="43" cm="1">
        <f t="array" ref="I31">SUM(I25:I30)</f>
        <v>25394.4</v>
      </c>
      <c r="J31" s="43" cm="1">
        <f t="array" ref="J31">SUM(J25:J30)</f>
        <v>0</v>
      </c>
      <c r="K31" s="43" cm="1">
        <f t="array" ref="K31">SUM(K25:K30)</f>
        <v>0</v>
      </c>
      <c r="L31" s="43" cm="1">
        <f t="array" ref="L31">SUM(L25:L30)</f>
        <v>379.88</v>
      </c>
      <c r="M31" s="43" cm="1">
        <f t="array" ref="M31">SUM(M25:M30)</f>
        <v>1959.51</v>
      </c>
      <c r="N31" s="43" cm="1">
        <f t="array" ref="N31">SUM(N25:N30)</f>
        <v>4824.11</v>
      </c>
      <c r="O31" s="43" cm="1">
        <f t="array" ref="O31">SUM(O25:O30)</f>
        <v>7408.68</v>
      </c>
      <c r="P31" s="44"/>
      <c r="Q31" s="43" cm="1">
        <f t="array" ref="Q31">SUM(Q25:Q30)</f>
        <v>131824.98</v>
      </c>
      <c r="R31" s="39"/>
      <c r="S31" s="18"/>
      <c r="T31" s="18"/>
      <c r="U31" s="18"/>
      <c r="V31" s="18"/>
      <c r="W31" s="18"/>
      <c r="X31" s="31"/>
      <c r="Y31" s="45"/>
    </row>
    <row r="32" ht="20" customHeight="1">
      <c r="A32" s="27"/>
      <c r="B32" s="74"/>
      <c r="C32" s="75"/>
      <c r="D32" s="76"/>
      <c r="E32" s="76"/>
      <c r="F32" s="76"/>
      <c r="G32" s="76"/>
      <c r="H32" s="76"/>
      <c r="I32" s="76"/>
      <c r="J32" s="76"/>
      <c r="K32" s="76"/>
      <c r="L32" s="76"/>
      <c r="M32" s="76"/>
      <c r="N32" s="76"/>
      <c r="O32" s="76"/>
      <c r="P32" s="62"/>
      <c r="Q32" s="74"/>
      <c r="R32" s="31"/>
      <c r="S32" s="18"/>
      <c r="T32" s="18"/>
      <c r="U32" s="18"/>
      <c r="V32" s="18"/>
      <c r="W32" s="18"/>
      <c r="X32" s="31"/>
      <c r="Y32" s="45"/>
    </row>
    <row r="33" ht="20" customHeight="1">
      <c r="A33" s="40"/>
      <c r="B33" t="s" s="66">
        <v>39</v>
      </c>
      <c r="C33" t="s" s="37">
        <v>11</v>
      </c>
      <c r="D33" t="s" s="37">
        <v>12</v>
      </c>
      <c r="E33" t="s" s="37">
        <v>13</v>
      </c>
      <c r="F33" t="s" s="37">
        <v>14</v>
      </c>
      <c r="G33" t="s" s="37">
        <v>15</v>
      </c>
      <c r="H33" t="s" s="37">
        <v>16</v>
      </c>
      <c r="I33" t="s" s="37">
        <v>17</v>
      </c>
      <c r="J33" t="s" s="37">
        <v>18</v>
      </c>
      <c r="K33" t="s" s="37">
        <v>19</v>
      </c>
      <c r="L33" t="s" s="37">
        <v>20</v>
      </c>
      <c r="M33" t="s" s="37">
        <v>21</v>
      </c>
      <c r="N33" t="s" s="37">
        <v>22</v>
      </c>
      <c r="O33" t="s" s="37">
        <v>23</v>
      </c>
      <c r="P33" s="44"/>
      <c r="Q33" t="s" s="67">
        <v>24</v>
      </c>
      <c r="R33" s="39"/>
      <c r="S33" s="18"/>
      <c r="T33" s="18"/>
      <c r="U33" s="18"/>
      <c r="V33" s="18"/>
      <c r="W33" s="18"/>
      <c r="X33" s="31"/>
      <c r="Y33" s="45"/>
    </row>
    <row r="34" ht="20" customHeight="1">
      <c r="A34" s="77"/>
      <c r="B34" t="s" s="78">
        <v>40</v>
      </c>
      <c r="C34" s="79"/>
      <c r="D34" s="80">
        <v>0</v>
      </c>
      <c r="E34" s="80">
        <v>0</v>
      </c>
      <c r="F34" s="80">
        <v>0</v>
      </c>
      <c r="G34" s="80">
        <v>0</v>
      </c>
      <c r="H34" s="80">
        <v>0</v>
      </c>
      <c r="I34" s="80">
        <v>0</v>
      </c>
      <c r="J34" s="80">
        <v>0</v>
      </c>
      <c r="K34" s="80">
        <v>0</v>
      </c>
      <c r="L34" s="80">
        <v>0</v>
      </c>
      <c r="M34" s="80">
        <v>0</v>
      </c>
      <c r="N34" s="80">
        <v>0</v>
      </c>
      <c r="O34" s="80">
        <v>0</v>
      </c>
      <c r="P34" s="81"/>
      <c r="Q34" s="80" cm="1">
        <f t="array" ref="Q34">SUM(D34:O34)</f>
        <v>0</v>
      </c>
      <c r="R34" s="39"/>
      <c r="S34" s="82"/>
      <c r="T34" s="82"/>
      <c r="U34" s="82"/>
      <c r="V34" s="82"/>
      <c r="W34" s="82"/>
      <c r="X34" s="31"/>
      <c r="Y34" s="45"/>
    </row>
    <row r="35" ht="20" customHeight="1">
      <c r="A35" s="40"/>
      <c r="B35" t="s" s="78">
        <v>41</v>
      </c>
      <c r="C35" s="79"/>
      <c r="D35" s="80">
        <v>0</v>
      </c>
      <c r="E35" s="80">
        <v>0</v>
      </c>
      <c r="F35" s="80">
        <v>0</v>
      </c>
      <c r="G35" s="80">
        <v>0</v>
      </c>
      <c r="H35" s="80">
        <v>0</v>
      </c>
      <c r="I35" s="80">
        <v>0</v>
      </c>
      <c r="J35" s="80">
        <v>0</v>
      </c>
      <c r="K35" s="80">
        <v>0</v>
      </c>
      <c r="L35" s="80">
        <v>0</v>
      </c>
      <c r="M35" s="80">
        <v>0</v>
      </c>
      <c r="N35" s="80">
        <v>0</v>
      </c>
      <c r="O35" s="80">
        <v>0</v>
      </c>
      <c r="P35" s="81"/>
      <c r="Q35" s="80" cm="1">
        <f t="array" ref="Q35">SUM(D35:O35)</f>
        <v>0</v>
      </c>
      <c r="R35" s="39"/>
      <c r="S35" s="18"/>
      <c r="T35" s="18"/>
      <c r="U35" s="18"/>
      <c r="V35" s="18"/>
      <c r="W35" s="18"/>
      <c r="X35" s="31"/>
      <c r="Y35" s="45"/>
    </row>
    <row r="36" ht="20" customHeight="1">
      <c r="A36" s="13"/>
      <c r="B36" t="s" s="78">
        <v>42</v>
      </c>
      <c r="C36" s="79"/>
      <c r="D36" s="80">
        <v>0</v>
      </c>
      <c r="E36" s="80">
        <v>0</v>
      </c>
      <c r="F36" s="80">
        <v>0</v>
      </c>
      <c r="G36" s="80">
        <v>0</v>
      </c>
      <c r="H36" s="80">
        <v>0</v>
      </c>
      <c r="I36" s="80">
        <v>0</v>
      </c>
      <c r="J36" s="80">
        <v>0</v>
      </c>
      <c r="K36" s="80">
        <v>0</v>
      </c>
      <c r="L36" s="80">
        <v>0</v>
      </c>
      <c r="M36" s="80">
        <v>0</v>
      </c>
      <c r="N36" s="80">
        <v>0</v>
      </c>
      <c r="O36" s="80">
        <v>0</v>
      </c>
      <c r="P36" s="81"/>
      <c r="Q36" s="80" cm="1">
        <f t="array" ref="Q36">SUM(D36:O36)</f>
        <v>0</v>
      </c>
      <c r="R36" s="39"/>
      <c r="S36" s="83"/>
      <c r="T36" s="83"/>
      <c r="U36" s="83"/>
      <c r="V36" s="83"/>
      <c r="W36" s="83"/>
      <c r="X36" s="31"/>
      <c r="Y36" s="45"/>
    </row>
    <row r="37" ht="20" customHeight="1">
      <c r="A37" s="40"/>
      <c r="B37" t="s" s="72">
        <v>43</v>
      </c>
      <c r="C37" s="42"/>
      <c r="D37" s="43" cm="1">
        <f t="array" ref="D37">SUM(D34:D36)</f>
        <v>0</v>
      </c>
      <c r="E37" s="43" cm="1">
        <f t="array" ref="E37">SUM(E34:E36)</f>
        <v>0</v>
      </c>
      <c r="F37" s="43" cm="1">
        <f t="array" ref="F37">SUM(F34:F36)</f>
        <v>0</v>
      </c>
      <c r="G37" s="43" cm="1">
        <f t="array" ref="G37">SUM(G34:G36)</f>
        <v>0</v>
      </c>
      <c r="H37" s="43" cm="1">
        <f t="array" ref="H37">SUM(H34:H36)</f>
        <v>0</v>
      </c>
      <c r="I37" s="43" cm="1">
        <f t="array" ref="I37">SUM(I34:I36)</f>
        <v>0</v>
      </c>
      <c r="J37" s="43" cm="1">
        <f t="array" ref="J37">SUM(J34:J36)</f>
        <v>0</v>
      </c>
      <c r="K37" s="43" cm="1">
        <f t="array" ref="K37">SUM(K34:K36)</f>
        <v>0</v>
      </c>
      <c r="L37" s="43" cm="1">
        <f t="array" ref="L37">SUM(L34:L36)</f>
        <v>0</v>
      </c>
      <c r="M37" s="43" cm="1">
        <f t="array" ref="M37">SUM(M34:M36)</f>
        <v>0</v>
      </c>
      <c r="N37" s="43" cm="1">
        <f t="array" ref="N37">SUM(N34:N36)</f>
        <v>0</v>
      </c>
      <c r="O37" s="43" cm="1">
        <f t="array" ref="O37">SUM(O34:O36)</f>
        <v>0</v>
      </c>
      <c r="P37" s="81"/>
      <c r="Q37" s="43" cm="1">
        <f t="array" ref="Q37">SUM(Q34:Q36)</f>
        <v>0</v>
      </c>
      <c r="R37" s="39"/>
      <c r="S37" s="18"/>
      <c r="T37" s="18"/>
      <c r="U37" s="18"/>
      <c r="V37" s="18"/>
      <c r="W37" s="18"/>
      <c r="X37" s="31"/>
      <c r="Y37" s="45"/>
    </row>
    <row r="38" ht="20" customHeight="1">
      <c r="A38" s="27"/>
      <c r="B38" s="74"/>
      <c r="C38" s="84"/>
      <c r="D38" s="74"/>
      <c r="E38" s="74"/>
      <c r="F38" s="74"/>
      <c r="G38" s="74"/>
      <c r="H38" s="74"/>
      <c r="I38" s="74"/>
      <c r="J38" s="74"/>
      <c r="K38" s="74"/>
      <c r="L38" s="74"/>
      <c r="M38" s="74"/>
      <c r="N38" s="74"/>
      <c r="O38" s="74"/>
      <c r="P38" s="62"/>
      <c r="Q38" s="74"/>
      <c r="R38" s="31"/>
      <c r="S38" s="18"/>
      <c r="T38" s="18"/>
      <c r="U38" s="18"/>
      <c r="V38" s="18"/>
      <c r="W38" s="18"/>
      <c r="X38" s="31"/>
      <c r="Y38" s="45"/>
    </row>
    <row r="39" ht="20" customHeight="1">
      <c r="A39" s="40"/>
      <c r="B39" t="s" s="41">
        <v>44</v>
      </c>
      <c r="C39" s="42"/>
      <c r="D39" s="43" cm="1">
        <f t="array" ref="D39">D31-D37</f>
        <v>18640.8</v>
      </c>
      <c r="E39" s="43" cm="1">
        <f t="array" ref="E39">E31-E37</f>
        <v>12440.4</v>
      </c>
      <c r="F39" s="43" cm="1">
        <f t="array" ref="F39">F31-F37</f>
        <v>22052.4</v>
      </c>
      <c r="G39" s="43" cm="1">
        <f t="array" ref="G39">G31-G37</f>
        <v>26091.6</v>
      </c>
      <c r="H39" s="43" cm="1">
        <f t="array" ref="H39">H31-H37</f>
        <v>12633.2</v>
      </c>
      <c r="I39" s="43" cm="1">
        <f t="array" ref="I39">I31-I37</f>
        <v>25394.4</v>
      </c>
      <c r="J39" s="43" cm="1">
        <f t="array" ref="J39">J31-J37</f>
        <v>0</v>
      </c>
      <c r="K39" s="43" cm="1">
        <f t="array" ref="K39">K31-K37</f>
        <v>0</v>
      </c>
      <c r="L39" s="43" cm="1">
        <f t="array" ref="L39">L31-L37</f>
        <v>379.88</v>
      </c>
      <c r="M39" s="43" cm="1">
        <f t="array" ref="M39">M31-M37</f>
        <v>1959.51</v>
      </c>
      <c r="N39" s="43" cm="1">
        <f t="array" ref="N39">N31-N37</f>
        <v>4824.11</v>
      </c>
      <c r="O39" s="43" cm="1">
        <f t="array" ref="O39">O31-O37</f>
        <v>7408.68</v>
      </c>
      <c r="P39" s="44"/>
      <c r="Q39" s="85" cm="1">
        <f t="array" ref="Q39">Q31-Q37</f>
        <v>131824.98</v>
      </c>
      <c r="R39" s="39"/>
      <c r="S39" s="18"/>
      <c r="T39" s="18"/>
      <c r="U39" s="18"/>
      <c r="V39" s="18"/>
      <c r="W39" s="18"/>
      <c r="X39" s="31"/>
      <c r="Y39" s="45"/>
    </row>
    <row r="40" ht="20" customHeight="1">
      <c r="A40" s="27"/>
      <c r="B40" s="86"/>
      <c r="C40" s="84"/>
      <c r="D40" s="87"/>
      <c r="E40" s="87"/>
      <c r="F40" s="87"/>
      <c r="G40" s="87"/>
      <c r="H40" s="87"/>
      <c r="I40" s="87"/>
      <c r="J40" s="87"/>
      <c r="K40" s="87"/>
      <c r="L40" s="87"/>
      <c r="M40" s="87"/>
      <c r="N40" s="87"/>
      <c r="O40" s="87"/>
      <c r="P40" s="62"/>
      <c r="Q40" s="87"/>
      <c r="R40" s="31"/>
      <c r="S40" s="18"/>
      <c r="T40" s="18"/>
      <c r="U40" s="18"/>
      <c r="V40" s="18"/>
      <c r="W40" s="18"/>
      <c r="X40" s="31"/>
      <c r="Y40" s="45"/>
    </row>
    <row r="41" ht="20" customHeight="1">
      <c r="A41" s="40"/>
      <c r="B41" t="s" s="88">
        <v>45</v>
      </c>
      <c r="C41" s="89"/>
      <c r="D41" s="89"/>
      <c r="E41" s="89"/>
      <c r="F41" s="89"/>
      <c r="G41" s="89"/>
      <c r="H41" s="89"/>
      <c r="I41" s="89"/>
      <c r="J41" s="89"/>
      <c r="K41" s="89"/>
      <c r="L41" s="89"/>
      <c r="M41" s="89"/>
      <c r="N41" s="89"/>
      <c r="O41" s="90"/>
      <c r="P41" s="44"/>
      <c r="Q41" s="91"/>
      <c r="R41" s="39"/>
      <c r="S41" s="18"/>
      <c r="T41" s="18"/>
      <c r="U41" s="18"/>
      <c r="V41" s="18"/>
      <c r="W41" s="18"/>
      <c r="X41" s="31"/>
      <c r="Y41" s="45"/>
    </row>
    <row r="42" ht="20" customHeight="1">
      <c r="A42" s="40"/>
      <c r="B42" t="s" s="92">
        <v>46</v>
      </c>
      <c r="C42" t="s" s="67">
        <v>11</v>
      </c>
      <c r="D42" t="s" s="67">
        <v>12</v>
      </c>
      <c r="E42" t="s" s="67">
        <v>13</v>
      </c>
      <c r="F42" t="s" s="67">
        <v>14</v>
      </c>
      <c r="G42" t="s" s="67">
        <v>15</v>
      </c>
      <c r="H42" t="s" s="67">
        <v>16</v>
      </c>
      <c r="I42" t="s" s="67">
        <v>17</v>
      </c>
      <c r="J42" t="s" s="67">
        <v>18</v>
      </c>
      <c r="K42" t="s" s="67">
        <v>19</v>
      </c>
      <c r="L42" t="s" s="67">
        <v>20</v>
      </c>
      <c r="M42" t="s" s="67">
        <v>21</v>
      </c>
      <c r="N42" t="s" s="67">
        <v>22</v>
      </c>
      <c r="O42" t="s" s="67">
        <v>23</v>
      </c>
      <c r="P42" s="44"/>
      <c r="Q42" t="s" s="67">
        <v>24</v>
      </c>
      <c r="R42" s="39"/>
      <c r="S42" s="18"/>
      <c r="T42" s="18"/>
      <c r="U42" s="18"/>
      <c r="V42" s="18"/>
      <c r="W42" s="18"/>
      <c r="X42" s="31"/>
      <c r="Y42" s="45"/>
    </row>
    <row r="43" ht="20" customHeight="1">
      <c r="A43" s="93"/>
      <c r="B43" t="s" s="68">
        <v>47</v>
      </c>
      <c r="C43" t="s" s="94">
        <v>48</v>
      </c>
      <c r="D43" s="70">
        <v>4000</v>
      </c>
      <c r="E43" s="70">
        <v>4000</v>
      </c>
      <c r="F43" s="70">
        <v>4000</v>
      </c>
      <c r="G43" s="70">
        <v>4000</v>
      </c>
      <c r="H43" s="70">
        <v>4000</v>
      </c>
      <c r="I43" s="70">
        <v>4000</v>
      </c>
      <c r="J43" s="70">
        <v>0</v>
      </c>
      <c r="K43" s="70">
        <v>0</v>
      </c>
      <c r="L43" s="70">
        <v>0</v>
      </c>
      <c r="M43" s="70">
        <v>0</v>
      </c>
      <c r="N43" s="70">
        <v>0</v>
      </c>
      <c r="O43" s="70">
        <v>0</v>
      </c>
      <c r="P43" s="44"/>
      <c r="Q43" s="70" cm="1">
        <f t="array" ref="Q43">SUM(D43:O43)</f>
        <v>24000</v>
      </c>
      <c r="R43" s="39"/>
      <c r="S43" s="31"/>
      <c r="T43" s="31"/>
      <c r="U43" s="31"/>
      <c r="V43" s="31"/>
      <c r="W43" s="31"/>
      <c r="X43" s="31"/>
      <c r="Y43" s="45"/>
    </row>
    <row r="44" ht="20" customHeight="1">
      <c r="A44" s="40"/>
      <c r="B44" t="s" s="68">
        <v>49</v>
      </c>
      <c r="C44" s="95"/>
      <c r="D44" s="70">
        <v>0</v>
      </c>
      <c r="E44" s="70">
        <v>0</v>
      </c>
      <c r="F44" s="70">
        <v>0</v>
      </c>
      <c r="G44" s="70">
        <v>0</v>
      </c>
      <c r="H44" s="70">
        <v>0</v>
      </c>
      <c r="I44" s="70">
        <v>0</v>
      </c>
      <c r="J44" s="70">
        <v>0</v>
      </c>
      <c r="K44" s="70">
        <v>0</v>
      </c>
      <c r="L44" s="70">
        <v>0</v>
      </c>
      <c r="M44" s="70">
        <v>0</v>
      </c>
      <c r="N44" s="70">
        <v>0</v>
      </c>
      <c r="O44" s="70">
        <v>0</v>
      </c>
      <c r="P44" s="96"/>
      <c r="Q44" s="70" cm="1">
        <f t="array" ref="Q44">SUM(D44:O44)</f>
        <v>0</v>
      </c>
      <c r="R44" s="47"/>
      <c r="S44" s="18"/>
      <c r="T44" s="18"/>
      <c r="U44" s="18"/>
      <c r="V44" s="18"/>
      <c r="W44" s="18"/>
      <c r="X44" s="18"/>
      <c r="Y44" s="19"/>
    </row>
    <row r="45" ht="20" customHeight="1">
      <c r="A45" s="40"/>
      <c r="B45" t="s" s="68">
        <v>50</v>
      </c>
      <c r="C45" s="95"/>
      <c r="D45" s="70">
        <v>0</v>
      </c>
      <c r="E45" s="70">
        <v>0</v>
      </c>
      <c r="F45" s="70">
        <v>0</v>
      </c>
      <c r="G45" s="70">
        <v>0</v>
      </c>
      <c r="H45" s="70">
        <v>0</v>
      </c>
      <c r="I45" s="70">
        <v>0</v>
      </c>
      <c r="J45" s="70">
        <v>0</v>
      </c>
      <c r="K45" s="70">
        <v>0</v>
      </c>
      <c r="L45" s="70">
        <v>0</v>
      </c>
      <c r="M45" s="70">
        <v>0</v>
      </c>
      <c r="N45" s="70">
        <v>0</v>
      </c>
      <c r="O45" s="70">
        <v>0</v>
      </c>
      <c r="P45" s="96"/>
      <c r="Q45" s="70" cm="1">
        <f t="array" ref="Q45">SUM(D45:O45)</f>
        <v>0</v>
      </c>
      <c r="R45" s="47"/>
      <c r="S45" s="18"/>
      <c r="T45" s="18"/>
      <c r="U45" s="18"/>
      <c r="V45" s="18"/>
      <c r="W45" s="18"/>
      <c r="X45" s="18"/>
      <c r="Y45" s="19"/>
    </row>
    <row r="46" ht="20" customHeight="1">
      <c r="A46" s="40"/>
      <c r="B46" t="s" s="68">
        <v>50</v>
      </c>
      <c r="C46" s="95"/>
      <c r="D46" s="70">
        <v>0</v>
      </c>
      <c r="E46" s="70">
        <v>0</v>
      </c>
      <c r="F46" s="70">
        <v>0</v>
      </c>
      <c r="G46" s="70">
        <v>0</v>
      </c>
      <c r="H46" s="70">
        <v>0</v>
      </c>
      <c r="I46" s="70">
        <v>0</v>
      </c>
      <c r="J46" s="70">
        <v>0</v>
      </c>
      <c r="K46" s="70">
        <v>0</v>
      </c>
      <c r="L46" s="70">
        <v>0</v>
      </c>
      <c r="M46" s="70">
        <v>0</v>
      </c>
      <c r="N46" s="70">
        <v>0</v>
      </c>
      <c r="O46" s="70">
        <v>0</v>
      </c>
      <c r="P46" s="44"/>
      <c r="Q46" s="70" cm="1">
        <f t="array" ref="Q46">SUM(D46:O46)</f>
        <v>0</v>
      </c>
      <c r="R46" s="39"/>
      <c r="S46" s="18"/>
      <c r="T46" s="18"/>
      <c r="U46" s="18"/>
      <c r="V46" s="18"/>
      <c r="W46" s="18"/>
      <c r="X46" s="18"/>
      <c r="Y46" s="19"/>
    </row>
    <row r="47" ht="20" customHeight="1">
      <c r="A47" s="40"/>
      <c r="B47" t="s" s="68">
        <v>50</v>
      </c>
      <c r="C47" s="95"/>
      <c r="D47" s="70">
        <v>0</v>
      </c>
      <c r="E47" s="70">
        <v>0</v>
      </c>
      <c r="F47" s="70">
        <v>0</v>
      </c>
      <c r="G47" s="70">
        <v>0</v>
      </c>
      <c r="H47" s="70">
        <v>0</v>
      </c>
      <c r="I47" s="70">
        <v>0</v>
      </c>
      <c r="J47" s="70">
        <v>0</v>
      </c>
      <c r="K47" s="70">
        <v>0</v>
      </c>
      <c r="L47" s="70">
        <v>0</v>
      </c>
      <c r="M47" s="70">
        <v>0</v>
      </c>
      <c r="N47" s="70">
        <v>0</v>
      </c>
      <c r="O47" s="70">
        <v>0</v>
      </c>
      <c r="P47" s="44"/>
      <c r="Q47" s="70" cm="1">
        <f t="array" ref="Q47">SUM(D47:O47)</f>
        <v>0</v>
      </c>
      <c r="R47" s="39"/>
      <c r="S47" s="18"/>
      <c r="T47" s="18"/>
      <c r="U47" s="18"/>
      <c r="V47" s="18"/>
      <c r="W47" s="18"/>
      <c r="X47" s="18"/>
      <c r="Y47" s="19"/>
    </row>
    <row r="48" ht="20" customHeight="1">
      <c r="A48" s="40"/>
      <c r="B48" t="s" s="68">
        <v>50</v>
      </c>
      <c r="C48" s="95"/>
      <c r="D48" s="70">
        <v>0</v>
      </c>
      <c r="E48" s="70">
        <v>0</v>
      </c>
      <c r="F48" s="70">
        <v>0</v>
      </c>
      <c r="G48" s="70">
        <v>0</v>
      </c>
      <c r="H48" s="70">
        <v>0</v>
      </c>
      <c r="I48" s="70">
        <v>0</v>
      </c>
      <c r="J48" s="70">
        <v>0</v>
      </c>
      <c r="K48" s="70">
        <v>0</v>
      </c>
      <c r="L48" s="70">
        <v>0</v>
      </c>
      <c r="M48" s="70">
        <v>0</v>
      </c>
      <c r="N48" s="70">
        <v>0</v>
      </c>
      <c r="O48" s="70">
        <v>0</v>
      </c>
      <c r="P48" s="96"/>
      <c r="Q48" s="70" cm="1">
        <f t="array" ref="Q48">SUM(D48:O48)</f>
        <v>0</v>
      </c>
      <c r="R48" s="47"/>
      <c r="S48" s="18"/>
      <c r="T48" s="18"/>
      <c r="U48" s="18"/>
      <c r="V48" s="18"/>
      <c r="W48" s="18"/>
      <c r="X48" s="18"/>
      <c r="Y48" s="19"/>
    </row>
    <row r="49" ht="20" customHeight="1">
      <c r="A49" s="93"/>
      <c r="B49" t="s" s="68">
        <v>50</v>
      </c>
      <c r="C49" s="95"/>
      <c r="D49" s="70">
        <v>0</v>
      </c>
      <c r="E49" s="70">
        <v>0</v>
      </c>
      <c r="F49" s="70">
        <v>0</v>
      </c>
      <c r="G49" s="70">
        <v>0</v>
      </c>
      <c r="H49" s="70">
        <v>0</v>
      </c>
      <c r="I49" s="70">
        <v>0</v>
      </c>
      <c r="J49" s="70">
        <v>0</v>
      </c>
      <c r="K49" s="70">
        <v>0</v>
      </c>
      <c r="L49" s="70">
        <v>0</v>
      </c>
      <c r="M49" s="70">
        <v>0</v>
      </c>
      <c r="N49" s="70">
        <v>0</v>
      </c>
      <c r="O49" s="70">
        <v>0</v>
      </c>
      <c r="P49" s="44"/>
      <c r="Q49" s="70" cm="1">
        <f t="array" ref="Q49">SUM(D49:O49)</f>
        <v>0</v>
      </c>
      <c r="R49" s="39"/>
      <c r="S49" s="31"/>
      <c r="T49" s="31"/>
      <c r="U49" s="31"/>
      <c r="V49" s="31"/>
      <c r="W49" s="31"/>
      <c r="X49" s="31"/>
      <c r="Y49" s="45"/>
    </row>
    <row r="50" ht="20" customHeight="1">
      <c r="A50" s="93"/>
      <c r="B50" t="s" s="68">
        <v>50</v>
      </c>
      <c r="C50" s="95"/>
      <c r="D50" s="70">
        <v>0</v>
      </c>
      <c r="E50" s="70">
        <v>0</v>
      </c>
      <c r="F50" s="70">
        <v>0</v>
      </c>
      <c r="G50" s="70">
        <v>0</v>
      </c>
      <c r="H50" s="70">
        <v>0</v>
      </c>
      <c r="I50" s="70">
        <v>0</v>
      </c>
      <c r="J50" s="70">
        <v>0</v>
      </c>
      <c r="K50" s="70">
        <v>0</v>
      </c>
      <c r="L50" s="70">
        <v>0</v>
      </c>
      <c r="M50" s="70">
        <v>0</v>
      </c>
      <c r="N50" s="70">
        <v>0</v>
      </c>
      <c r="O50" s="70">
        <v>0</v>
      </c>
      <c r="P50" s="44"/>
      <c r="Q50" s="70" cm="1">
        <f t="array" ref="Q50">SUM(D50:O50)</f>
        <v>0</v>
      </c>
      <c r="R50" s="39"/>
      <c r="S50" s="31"/>
      <c r="T50" s="31"/>
      <c r="U50" s="31"/>
      <c r="V50" s="31"/>
      <c r="W50" s="31"/>
      <c r="X50" s="31"/>
      <c r="Y50" s="45"/>
    </row>
    <row r="51" ht="20" customHeight="1">
      <c r="A51" s="93"/>
      <c r="B51" t="s" s="68">
        <v>50</v>
      </c>
      <c r="C51" s="95"/>
      <c r="D51" s="70">
        <v>0</v>
      </c>
      <c r="E51" s="70">
        <v>0</v>
      </c>
      <c r="F51" s="70">
        <v>0</v>
      </c>
      <c r="G51" s="70">
        <v>0</v>
      </c>
      <c r="H51" s="70">
        <v>0</v>
      </c>
      <c r="I51" s="70">
        <v>0</v>
      </c>
      <c r="J51" s="70">
        <v>0</v>
      </c>
      <c r="K51" s="70">
        <v>0</v>
      </c>
      <c r="L51" s="70">
        <v>0</v>
      </c>
      <c r="M51" s="70">
        <v>0</v>
      </c>
      <c r="N51" s="70">
        <v>0</v>
      </c>
      <c r="O51" s="70">
        <v>0</v>
      </c>
      <c r="P51" s="44"/>
      <c r="Q51" s="70" cm="1">
        <f t="array" ref="Q51">SUM(D51:O51)</f>
        <v>0</v>
      </c>
      <c r="R51" s="39"/>
      <c r="S51" s="31"/>
      <c r="T51" s="31"/>
      <c r="U51" s="31"/>
      <c r="V51" s="31"/>
      <c r="W51" s="31"/>
      <c r="X51" s="31"/>
      <c r="Y51" s="45"/>
    </row>
    <row r="52" ht="20" customHeight="1">
      <c r="A52" s="93"/>
      <c r="B52" t="s" s="68">
        <v>50</v>
      </c>
      <c r="C52" s="95"/>
      <c r="D52" s="70">
        <v>0</v>
      </c>
      <c r="E52" s="70">
        <v>0</v>
      </c>
      <c r="F52" s="70">
        <v>0</v>
      </c>
      <c r="G52" s="70">
        <v>0</v>
      </c>
      <c r="H52" s="70">
        <v>0</v>
      </c>
      <c r="I52" s="70">
        <v>0</v>
      </c>
      <c r="J52" s="70">
        <v>0</v>
      </c>
      <c r="K52" s="70">
        <v>0</v>
      </c>
      <c r="L52" s="70">
        <v>0</v>
      </c>
      <c r="M52" s="70">
        <v>0</v>
      </c>
      <c r="N52" s="70">
        <v>0</v>
      </c>
      <c r="O52" s="70">
        <v>0</v>
      </c>
      <c r="P52" s="44"/>
      <c r="Q52" s="70" cm="1">
        <f t="array" ref="Q52">SUM(D52:O52)</f>
        <v>0</v>
      </c>
      <c r="R52" s="39"/>
      <c r="S52" s="31"/>
      <c r="T52" s="31"/>
      <c r="U52" s="31"/>
      <c r="V52" s="31"/>
      <c r="W52" s="31"/>
      <c r="X52" s="31"/>
      <c r="Y52" s="45"/>
    </row>
    <row r="53" ht="20" customHeight="1">
      <c r="A53" s="93"/>
      <c r="B53" t="s" s="68">
        <v>50</v>
      </c>
      <c r="C53" s="95"/>
      <c r="D53" s="70">
        <v>0</v>
      </c>
      <c r="E53" s="70">
        <v>0</v>
      </c>
      <c r="F53" s="70">
        <v>0</v>
      </c>
      <c r="G53" s="70">
        <v>0</v>
      </c>
      <c r="H53" s="70">
        <v>0</v>
      </c>
      <c r="I53" s="70">
        <v>0</v>
      </c>
      <c r="J53" s="70">
        <v>0</v>
      </c>
      <c r="K53" s="70">
        <v>0</v>
      </c>
      <c r="L53" s="70">
        <v>0</v>
      </c>
      <c r="M53" s="70">
        <v>0</v>
      </c>
      <c r="N53" s="70">
        <v>0</v>
      </c>
      <c r="O53" s="70">
        <v>0</v>
      </c>
      <c r="P53" s="44"/>
      <c r="Q53" s="70" cm="1">
        <f t="array" ref="Q53">SUM(D53:O53)</f>
        <v>0</v>
      </c>
      <c r="R53" s="39"/>
      <c r="S53" s="31"/>
      <c r="T53" s="31"/>
      <c r="U53" s="31"/>
      <c r="V53" s="31"/>
      <c r="W53" s="31"/>
      <c r="X53" s="31"/>
      <c r="Y53" s="45"/>
    </row>
    <row r="54" ht="20" customHeight="1">
      <c r="A54" s="93"/>
      <c r="B54" t="s" s="68">
        <v>50</v>
      </c>
      <c r="C54" s="95"/>
      <c r="D54" s="70">
        <v>0</v>
      </c>
      <c r="E54" s="70">
        <v>0</v>
      </c>
      <c r="F54" s="70">
        <v>0</v>
      </c>
      <c r="G54" s="70">
        <v>0</v>
      </c>
      <c r="H54" s="70">
        <v>0</v>
      </c>
      <c r="I54" s="70">
        <v>0</v>
      </c>
      <c r="J54" s="70">
        <v>0</v>
      </c>
      <c r="K54" s="70">
        <v>0</v>
      </c>
      <c r="L54" s="70">
        <v>0</v>
      </c>
      <c r="M54" s="70">
        <v>0</v>
      </c>
      <c r="N54" s="70">
        <v>0</v>
      </c>
      <c r="O54" s="70">
        <v>0</v>
      </c>
      <c r="P54" s="44"/>
      <c r="Q54" s="70" cm="1">
        <f t="array" ref="Q54">SUM(D54:O54)</f>
        <v>0</v>
      </c>
      <c r="R54" s="39"/>
      <c r="S54" s="31"/>
      <c r="T54" s="31"/>
      <c r="U54" s="31"/>
      <c r="V54" s="31"/>
      <c r="W54" s="31"/>
      <c r="X54" s="31"/>
      <c r="Y54" s="45"/>
    </row>
    <row r="55" ht="20" customHeight="1">
      <c r="A55" s="93"/>
      <c r="B55" t="s" s="68">
        <v>50</v>
      </c>
      <c r="C55" s="95"/>
      <c r="D55" s="70">
        <v>0</v>
      </c>
      <c r="E55" s="70">
        <v>0</v>
      </c>
      <c r="F55" s="70">
        <v>0</v>
      </c>
      <c r="G55" s="70">
        <v>0</v>
      </c>
      <c r="H55" s="70">
        <v>0</v>
      </c>
      <c r="I55" s="70">
        <v>0</v>
      </c>
      <c r="J55" s="70">
        <v>0</v>
      </c>
      <c r="K55" s="70">
        <v>0</v>
      </c>
      <c r="L55" s="70">
        <v>0</v>
      </c>
      <c r="M55" s="70">
        <v>0</v>
      </c>
      <c r="N55" s="70">
        <v>0</v>
      </c>
      <c r="O55" s="70">
        <v>0</v>
      </c>
      <c r="P55" s="44"/>
      <c r="Q55" s="70" cm="1">
        <f t="array" ref="Q55">SUM(D55:O55)</f>
        <v>0</v>
      </c>
      <c r="R55" s="39"/>
      <c r="S55" s="31"/>
      <c r="T55" s="31"/>
      <c r="U55" s="31"/>
      <c r="V55" s="31"/>
      <c r="W55" s="31"/>
      <c r="X55" s="31"/>
      <c r="Y55" s="45"/>
    </row>
    <row r="56" ht="20" customHeight="1">
      <c r="A56" s="93"/>
      <c r="B56" t="s" s="68">
        <v>50</v>
      </c>
      <c r="C56" s="95"/>
      <c r="D56" s="70">
        <v>0</v>
      </c>
      <c r="E56" s="70">
        <v>0</v>
      </c>
      <c r="F56" s="70">
        <v>0</v>
      </c>
      <c r="G56" s="70">
        <v>0</v>
      </c>
      <c r="H56" s="70">
        <v>0</v>
      </c>
      <c r="I56" s="70">
        <v>0</v>
      </c>
      <c r="J56" s="70">
        <v>0</v>
      </c>
      <c r="K56" s="70">
        <v>0</v>
      </c>
      <c r="L56" s="70">
        <v>0</v>
      </c>
      <c r="M56" s="70">
        <v>0</v>
      </c>
      <c r="N56" s="70">
        <v>0</v>
      </c>
      <c r="O56" s="70">
        <v>0</v>
      </c>
      <c r="P56" s="44"/>
      <c r="Q56" s="70" cm="1">
        <f t="array" ref="Q56">SUM(D56:O56)</f>
        <v>0</v>
      </c>
      <c r="R56" s="39"/>
      <c r="S56" s="31"/>
      <c r="T56" s="31"/>
      <c r="U56" s="31"/>
      <c r="V56" s="31"/>
      <c r="W56" s="31"/>
      <c r="X56" s="31"/>
      <c r="Y56" s="45"/>
    </row>
    <row r="57" ht="20" customHeight="1">
      <c r="A57" s="93"/>
      <c r="B57" t="s" s="68">
        <v>50</v>
      </c>
      <c r="C57" s="95"/>
      <c r="D57" s="70">
        <v>0</v>
      </c>
      <c r="E57" s="70">
        <v>0</v>
      </c>
      <c r="F57" s="70">
        <v>0</v>
      </c>
      <c r="G57" s="70">
        <v>0</v>
      </c>
      <c r="H57" s="70">
        <v>0</v>
      </c>
      <c r="I57" s="70">
        <v>0</v>
      </c>
      <c r="J57" s="70">
        <v>0</v>
      </c>
      <c r="K57" s="70">
        <v>0</v>
      </c>
      <c r="L57" s="70">
        <v>0</v>
      </c>
      <c r="M57" s="70">
        <v>0</v>
      </c>
      <c r="N57" s="70">
        <v>0</v>
      </c>
      <c r="O57" s="70">
        <v>0</v>
      </c>
      <c r="P57" s="44"/>
      <c r="Q57" s="70" cm="1">
        <f t="array" ref="Q57">SUM(D57:O57)</f>
        <v>0</v>
      </c>
      <c r="R57" s="39"/>
      <c r="S57" s="31"/>
      <c r="T57" s="31"/>
      <c r="U57" s="31"/>
      <c r="V57" s="31"/>
      <c r="W57" s="31"/>
      <c r="X57" s="31"/>
      <c r="Y57" s="45"/>
    </row>
    <row r="58" ht="20" customHeight="1">
      <c r="A58" s="40"/>
      <c r="B58" t="s" s="72">
        <v>51</v>
      </c>
      <c r="C58" s="42"/>
      <c r="D58" s="43" cm="1">
        <f t="array" ref="D58">SUM(D43:D57)</f>
        <v>4000</v>
      </c>
      <c r="E58" s="43" cm="1">
        <f t="array" ref="E58">SUM(E43:E57)</f>
        <v>4000</v>
      </c>
      <c r="F58" s="43" cm="1">
        <f t="array" ref="F58">SUM(F43:F57)</f>
        <v>4000</v>
      </c>
      <c r="G58" s="43" cm="1">
        <f t="array" ref="G58">SUM(G43:G57)</f>
        <v>4000</v>
      </c>
      <c r="H58" s="43" cm="1">
        <f t="array" ref="H58">SUM(H43:H57)</f>
        <v>4000</v>
      </c>
      <c r="I58" s="43" cm="1">
        <f t="array" ref="I58">SUM(I43:I57)</f>
        <v>4000</v>
      </c>
      <c r="J58" s="43" cm="1">
        <f t="array" ref="J58">SUM(J43:J57)</f>
        <v>0</v>
      </c>
      <c r="K58" s="43" cm="1">
        <f t="array" ref="K58">SUM(K43:K57)</f>
        <v>0</v>
      </c>
      <c r="L58" s="43" cm="1">
        <f t="array" ref="L58">SUM(L43:L57)</f>
        <v>0</v>
      </c>
      <c r="M58" s="43" cm="1">
        <f t="array" ref="M58">SUM(M43:M57)</f>
        <v>0</v>
      </c>
      <c r="N58" s="43" cm="1">
        <f t="array" ref="N58">SUM(N43:N57)</f>
        <v>0</v>
      </c>
      <c r="O58" s="43" cm="1">
        <f t="array" ref="O58">SUM(O43:O57)</f>
        <v>0</v>
      </c>
      <c r="P58" s="96"/>
      <c r="Q58" s="43" cm="1">
        <f t="array" ref="Q58">SUM(Q43:Q57)</f>
        <v>24000</v>
      </c>
      <c r="R58" s="47"/>
      <c r="S58" s="18"/>
      <c r="T58" s="18"/>
      <c r="U58" s="18"/>
      <c r="V58" s="18"/>
      <c r="W58" s="18"/>
      <c r="X58" s="18"/>
      <c r="Y58" s="19"/>
    </row>
    <row r="59" ht="20" customHeight="1">
      <c r="A59" s="27"/>
      <c r="B59" s="97"/>
      <c r="C59" s="74"/>
      <c r="D59" s="97"/>
      <c r="E59" s="97"/>
      <c r="F59" s="97"/>
      <c r="G59" s="97"/>
      <c r="H59" s="97"/>
      <c r="I59" s="97"/>
      <c r="J59" s="97"/>
      <c r="K59" s="97"/>
      <c r="L59" s="97"/>
      <c r="M59" s="97"/>
      <c r="N59" s="97"/>
      <c r="O59" s="97"/>
      <c r="P59" s="18"/>
      <c r="Q59" s="97"/>
      <c r="R59" s="18"/>
      <c r="S59" s="18"/>
      <c r="T59" s="18"/>
      <c r="U59" s="18"/>
      <c r="V59" s="18"/>
      <c r="W59" s="18"/>
      <c r="X59" s="18"/>
      <c r="Y59" s="19"/>
    </row>
    <row r="60" ht="20" customHeight="1">
      <c r="A60" s="40"/>
      <c r="B60" t="s" s="92">
        <v>52</v>
      </c>
      <c r="C60" t="s" s="67">
        <v>11</v>
      </c>
      <c r="D60" t="s" s="67">
        <v>12</v>
      </c>
      <c r="E60" t="s" s="67">
        <v>13</v>
      </c>
      <c r="F60" t="s" s="67">
        <v>14</v>
      </c>
      <c r="G60" t="s" s="67">
        <v>15</v>
      </c>
      <c r="H60" t="s" s="67">
        <v>16</v>
      </c>
      <c r="I60" t="s" s="67">
        <v>17</v>
      </c>
      <c r="J60" t="s" s="67">
        <v>18</v>
      </c>
      <c r="K60" t="s" s="67">
        <v>19</v>
      </c>
      <c r="L60" t="s" s="67">
        <v>20</v>
      </c>
      <c r="M60" t="s" s="67">
        <v>21</v>
      </c>
      <c r="N60" t="s" s="67">
        <v>22</v>
      </c>
      <c r="O60" t="s" s="67">
        <v>23</v>
      </c>
      <c r="P60" s="46"/>
      <c r="Q60" t="s" s="67">
        <v>24</v>
      </c>
      <c r="R60" s="47"/>
      <c r="S60" s="18"/>
      <c r="T60" s="18"/>
      <c r="U60" s="18"/>
      <c r="V60" s="18"/>
      <c r="W60" s="18"/>
      <c r="X60" s="18"/>
      <c r="Y60" s="19"/>
    </row>
    <row r="61" ht="20" customHeight="1">
      <c r="A61" s="40"/>
      <c r="B61" t="s" s="68">
        <v>53</v>
      </c>
      <c r="C61" t="s" s="68">
        <v>54</v>
      </c>
      <c r="D61" s="70" cm="1">
        <f t="array" ref="D61">SUM(59.9*D18)</f>
        <v>1377.7</v>
      </c>
      <c r="E61" s="70" cm="1">
        <f t="array" ref="E61">SUM(59.9*E18)</f>
        <v>1856.9</v>
      </c>
      <c r="F61" s="70" cm="1">
        <f t="array" ref="F61">SUM(59.9*F18)</f>
        <v>718.8</v>
      </c>
      <c r="G61" s="70" cm="1">
        <f t="array" ref="G61">SUM(59.9*G18)</f>
        <v>419.3</v>
      </c>
      <c r="H61" s="70" cm="1">
        <f t="array" ref="H61">SUM(59.9*H18)</f>
        <v>239.6</v>
      </c>
      <c r="I61" s="70" cm="1">
        <f t="array" ref="I61">SUM(59.9*I18)</f>
        <v>1557.4</v>
      </c>
      <c r="J61" s="70" cm="1">
        <f t="array" ref="J61">SUM(59.9*J18)</f>
        <v>0</v>
      </c>
      <c r="K61" s="70" cm="1">
        <f t="array" ref="K61">SUM(59.9*K18)</f>
        <v>0</v>
      </c>
      <c r="L61" s="70" cm="1">
        <f t="array" ref="L61">SUM(59.9*L18)</f>
        <v>0</v>
      </c>
      <c r="M61" s="70" cm="1">
        <f t="array" ref="M61">SUM(59.9*M18)</f>
        <v>0</v>
      </c>
      <c r="N61" s="70" cm="1">
        <f t="array" ref="N61">SUM(59.9*N18)</f>
        <v>0</v>
      </c>
      <c r="O61" s="70" cm="1">
        <f t="array" ref="O61">SUM(59.9*O18)</f>
        <v>0</v>
      </c>
      <c r="P61" s="46"/>
      <c r="Q61" s="70" cm="1">
        <f t="array" ref="Q61">SUM(D61:O61)</f>
        <v>6169.7</v>
      </c>
      <c r="R61" s="47"/>
      <c r="S61" s="18"/>
      <c r="T61" s="18"/>
      <c r="U61" s="18"/>
      <c r="V61" s="18"/>
      <c r="W61" s="18"/>
      <c r="X61" s="18"/>
      <c r="Y61" s="19"/>
    </row>
    <row r="62" ht="20" customHeight="1">
      <c r="A62" s="40"/>
      <c r="B62" t="s" s="68">
        <v>55</v>
      </c>
      <c r="C62" t="s" s="68">
        <v>56</v>
      </c>
      <c r="D62" s="70" cm="1">
        <f t="array" ref="D62">SUM(806.4*D20)</f>
        <v>1612.8</v>
      </c>
      <c r="E62" s="70" cm="1">
        <f t="array" ref="E62">SUM(806.4*E20)</f>
        <v>806.4</v>
      </c>
      <c r="F62" s="70" cm="1">
        <f t="array" ref="F62">SUM(806.4*F20)</f>
        <v>4838.4</v>
      </c>
      <c r="G62" s="70" cm="1">
        <f t="array" ref="G62">SUM(806.4*G20)</f>
        <v>3225.6</v>
      </c>
      <c r="H62" s="70" cm="1">
        <f t="array" ref="H62">SUM(806.4*H20)</f>
        <v>6451.2</v>
      </c>
      <c r="I62" s="70" cm="1">
        <f t="array" ref="I62">SUM(806.4*I20)</f>
        <v>8870.4</v>
      </c>
      <c r="J62" s="70" cm="1">
        <f t="array" ref="J62">SUM(806.4*J20)</f>
        <v>0</v>
      </c>
      <c r="K62" s="70" cm="1">
        <f t="array" ref="K62">SUM(806.4*K20)</f>
        <v>0</v>
      </c>
      <c r="L62" s="70" cm="1">
        <f t="array" ref="L62">SUM(806.4*L20)</f>
        <v>0</v>
      </c>
      <c r="M62" s="70" cm="1">
        <f t="array" ref="M62">SUM(806.4*M20)</f>
        <v>0</v>
      </c>
      <c r="N62" s="70" cm="1">
        <f t="array" ref="N62">SUM(806.4*N20)</f>
        <v>0</v>
      </c>
      <c r="O62" s="70" cm="1">
        <f t="array" ref="O62">SUM(806.4*O20)</f>
        <v>0</v>
      </c>
      <c r="P62" s="46"/>
      <c r="Q62" s="70" cm="1">
        <f t="array" ref="Q62">SUM(D62:O62)</f>
        <v>25804.8</v>
      </c>
      <c r="R62" s="47"/>
      <c r="S62" s="18"/>
      <c r="T62" s="18"/>
      <c r="U62" s="18"/>
      <c r="V62" s="18"/>
      <c r="W62" s="18"/>
      <c r="X62" s="18"/>
      <c r="Y62" s="19"/>
    </row>
    <row r="63" ht="20" customHeight="1">
      <c r="A63" s="40"/>
      <c r="B63" t="s" s="68">
        <v>57</v>
      </c>
      <c r="C63" t="s" s="68">
        <v>56</v>
      </c>
      <c r="D63" s="70" cm="1">
        <f t="array" ref="D63">SUM(806.4*D19)</f>
        <v>6451.2</v>
      </c>
      <c r="E63" s="70" cm="1">
        <f t="array" ref="E63">SUM(806.4*E19)</f>
        <v>3225.6</v>
      </c>
      <c r="F63" s="70" cm="1">
        <f t="array" ref="F63">SUM(806.4*F19)</f>
        <v>7257.6</v>
      </c>
      <c r="G63" s="70" cm="1">
        <f t="array" ref="G63">SUM(806.4*G19)</f>
        <v>10483.2</v>
      </c>
      <c r="H63" s="70" cm="1">
        <f t="array" ref="H63">SUM(806.4*H19)</f>
        <v>2419.2</v>
      </c>
      <c r="I63" s="70" cm="1">
        <f t="array" ref="I63">SUM(806.4*I19)</f>
        <v>5644.8</v>
      </c>
      <c r="J63" s="70" cm="1">
        <f t="array" ref="J63">SUM(806.4*J19)</f>
        <v>0</v>
      </c>
      <c r="K63" s="70" cm="1">
        <f t="array" ref="K63">SUM(806.4*K19)</f>
        <v>0</v>
      </c>
      <c r="L63" s="70" cm="1">
        <f t="array" ref="L63">SUM(806.4*L19)</f>
        <v>0</v>
      </c>
      <c r="M63" s="70" cm="1">
        <f t="array" ref="M63">SUM(806.4*M19)</f>
        <v>0</v>
      </c>
      <c r="N63" s="70" cm="1">
        <f t="array" ref="N63">SUM(806.4*N19)</f>
        <v>0</v>
      </c>
      <c r="O63" s="70" cm="1">
        <f t="array" ref="O63">SUM(806.4*O19)</f>
        <v>0</v>
      </c>
      <c r="P63" s="46"/>
      <c r="Q63" s="70" cm="1">
        <f t="array" ref="Q63">SUM(D63:O63)</f>
        <v>35481.6</v>
      </c>
      <c r="R63" s="47"/>
      <c r="S63" s="18"/>
      <c r="T63" s="18"/>
      <c r="U63" s="18"/>
      <c r="V63" s="18"/>
      <c r="W63" s="18"/>
      <c r="X63" s="18"/>
      <c r="Y63" s="19"/>
    </row>
    <row r="64" ht="20" customHeight="1">
      <c r="A64" s="40"/>
      <c r="B64" t="s" s="68">
        <v>58</v>
      </c>
      <c r="C64" t="s" s="68">
        <v>59</v>
      </c>
      <c r="D64" s="70">
        <v>0</v>
      </c>
      <c r="E64" s="70">
        <v>0</v>
      </c>
      <c r="F64" s="70">
        <v>0</v>
      </c>
      <c r="G64" s="70">
        <v>0</v>
      </c>
      <c r="H64" s="70">
        <v>0</v>
      </c>
      <c r="I64" s="70">
        <v>0</v>
      </c>
      <c r="J64" s="70">
        <v>0</v>
      </c>
      <c r="K64" s="70">
        <v>0</v>
      </c>
      <c r="L64" s="70">
        <v>0</v>
      </c>
      <c r="M64" s="70">
        <v>0</v>
      </c>
      <c r="N64" s="70">
        <v>0</v>
      </c>
      <c r="O64" s="70">
        <v>0</v>
      </c>
      <c r="P64" s="46"/>
      <c r="Q64" s="70" cm="1">
        <f t="array" ref="Q64">SUM(D64:O64)</f>
        <v>0</v>
      </c>
      <c r="R64" s="47"/>
      <c r="S64" s="18"/>
      <c r="T64" s="18"/>
      <c r="U64" s="18"/>
      <c r="V64" s="18"/>
      <c r="W64" s="18"/>
      <c r="X64" s="18"/>
      <c r="Y64" s="19"/>
    </row>
    <row r="65" ht="20" customHeight="1">
      <c r="A65" s="40"/>
      <c r="B65" t="s" s="68">
        <v>50</v>
      </c>
      <c r="C65" s="79"/>
      <c r="D65" s="70">
        <v>0</v>
      </c>
      <c r="E65" s="70">
        <v>0</v>
      </c>
      <c r="F65" s="70">
        <v>0</v>
      </c>
      <c r="G65" s="70">
        <v>0</v>
      </c>
      <c r="H65" s="70">
        <v>0</v>
      </c>
      <c r="I65" s="70">
        <v>0</v>
      </c>
      <c r="J65" s="70">
        <v>0</v>
      </c>
      <c r="K65" s="70">
        <v>0</v>
      </c>
      <c r="L65" s="70">
        <v>0</v>
      </c>
      <c r="M65" s="70">
        <v>0</v>
      </c>
      <c r="N65" s="70">
        <v>0</v>
      </c>
      <c r="O65" s="70">
        <v>0</v>
      </c>
      <c r="P65" s="46"/>
      <c r="Q65" s="70" cm="1">
        <f t="array" ref="Q65">SUM(D65:O65)</f>
        <v>0</v>
      </c>
      <c r="R65" s="47"/>
      <c r="S65" s="18"/>
      <c r="T65" s="18"/>
      <c r="U65" s="18"/>
      <c r="V65" s="18"/>
      <c r="W65" s="18"/>
      <c r="X65" s="18"/>
      <c r="Y65" s="19"/>
    </row>
    <row r="66" ht="20" customHeight="1">
      <c r="A66" s="40"/>
      <c r="B66" s="98"/>
      <c r="C66" s="42"/>
      <c r="D66" s="43" cm="1">
        <f t="array" ref="D66">SUM(D61:D65)</f>
        <v>9441.700000000001</v>
      </c>
      <c r="E66" s="43" cm="1">
        <f t="array" ref="E66">SUM(E61:E65)</f>
        <v>5888.9</v>
      </c>
      <c r="F66" s="43" cm="1">
        <f t="array" ref="F66">SUM(F61:F65)</f>
        <v>12814.8</v>
      </c>
      <c r="G66" s="43" cm="1">
        <f t="array" ref="G66">SUM(G61:G65)</f>
        <v>14128.1</v>
      </c>
      <c r="H66" s="43" cm="1">
        <f t="array" ref="H66">SUM(H61:H65)</f>
        <v>9110</v>
      </c>
      <c r="I66" s="43" cm="1">
        <f t="array" ref="I66">SUM(I61:I65)</f>
        <v>16072.6</v>
      </c>
      <c r="J66" s="43" cm="1">
        <f t="array" ref="J66">SUM(J61:J65)</f>
        <v>0</v>
      </c>
      <c r="K66" s="43" cm="1">
        <f t="array" ref="K66">SUM(K61:K65)</f>
        <v>0</v>
      </c>
      <c r="L66" s="43" cm="1">
        <f t="array" ref="L66">SUM(L61:L65)</f>
        <v>0</v>
      </c>
      <c r="M66" s="43" cm="1">
        <f t="array" ref="M66">SUM(M61:M65)</f>
        <v>0</v>
      </c>
      <c r="N66" s="43" cm="1">
        <f t="array" ref="N66">SUM(N61:N65)</f>
        <v>0</v>
      </c>
      <c r="O66" s="43" cm="1">
        <f t="array" ref="O66">SUM(O61:O65)</f>
        <v>0</v>
      </c>
      <c r="P66" s="46"/>
      <c r="Q66" s="43" cm="1">
        <f t="array" ref="Q66">SUM(Q61:Q65)</f>
        <v>67456.100000000006</v>
      </c>
      <c r="R66" s="47"/>
      <c r="S66" s="18"/>
      <c r="T66" s="18"/>
      <c r="U66" s="18"/>
      <c r="V66" s="18"/>
      <c r="W66" s="18"/>
      <c r="X66" s="18"/>
      <c r="Y66" s="19"/>
    </row>
    <row r="67" ht="20" customHeight="1">
      <c r="A67" s="27"/>
      <c r="B67" s="97"/>
      <c r="C67" s="74"/>
      <c r="D67" s="97"/>
      <c r="E67" s="97"/>
      <c r="F67" s="97"/>
      <c r="G67" s="97"/>
      <c r="H67" s="97"/>
      <c r="I67" s="97"/>
      <c r="J67" s="97"/>
      <c r="K67" s="97"/>
      <c r="L67" s="97"/>
      <c r="M67" s="97"/>
      <c r="N67" s="97"/>
      <c r="O67" s="97"/>
      <c r="P67" s="18"/>
      <c r="Q67" s="97"/>
      <c r="R67" s="18"/>
      <c r="S67" s="18"/>
      <c r="T67" s="18"/>
      <c r="U67" s="18"/>
      <c r="V67" s="18"/>
      <c r="W67" s="18"/>
      <c r="X67" s="18"/>
      <c r="Y67" s="19"/>
    </row>
    <row r="68" ht="20" customHeight="1">
      <c r="A68" s="40"/>
      <c r="B68" t="s" s="92">
        <v>60</v>
      </c>
      <c r="C68" t="s" s="67">
        <v>11</v>
      </c>
      <c r="D68" t="s" s="67">
        <v>12</v>
      </c>
      <c r="E68" t="s" s="67">
        <v>13</v>
      </c>
      <c r="F68" t="s" s="67">
        <v>14</v>
      </c>
      <c r="G68" t="s" s="67">
        <v>15</v>
      </c>
      <c r="H68" t="s" s="67">
        <v>16</v>
      </c>
      <c r="I68" t="s" s="67">
        <v>17</v>
      </c>
      <c r="J68" t="s" s="67">
        <v>18</v>
      </c>
      <c r="K68" t="s" s="67">
        <v>19</v>
      </c>
      <c r="L68" t="s" s="67">
        <v>20</v>
      </c>
      <c r="M68" t="s" s="67">
        <v>21</v>
      </c>
      <c r="N68" t="s" s="67">
        <v>22</v>
      </c>
      <c r="O68" t="s" s="67">
        <v>23</v>
      </c>
      <c r="P68" s="46"/>
      <c r="Q68" t="s" s="67">
        <v>24</v>
      </c>
      <c r="R68" s="47"/>
      <c r="S68" s="18"/>
      <c r="T68" s="18"/>
      <c r="U68" s="18"/>
      <c r="V68" s="18"/>
      <c r="W68" s="18"/>
      <c r="X68" s="18"/>
      <c r="Y68" s="19"/>
    </row>
    <row r="69" ht="20" customHeight="1">
      <c r="A69" s="40"/>
      <c r="B69" t="s" s="68">
        <v>61</v>
      </c>
      <c r="C69" s="79"/>
      <c r="D69" s="70">
        <v>0</v>
      </c>
      <c r="E69" s="70">
        <v>0</v>
      </c>
      <c r="F69" s="70">
        <v>0</v>
      </c>
      <c r="G69" s="70">
        <v>0</v>
      </c>
      <c r="H69" s="70">
        <v>0</v>
      </c>
      <c r="I69" s="70">
        <v>0</v>
      </c>
      <c r="J69" s="70">
        <v>0</v>
      </c>
      <c r="K69" s="70">
        <v>0</v>
      </c>
      <c r="L69" s="70">
        <v>0</v>
      </c>
      <c r="M69" s="70">
        <v>0</v>
      </c>
      <c r="N69" s="70">
        <v>0</v>
      </c>
      <c r="O69" s="70">
        <v>0</v>
      </c>
      <c r="P69" s="46"/>
      <c r="Q69" s="70" cm="1">
        <f t="array" ref="Q69">SUM(D69:O69)</f>
        <v>0</v>
      </c>
      <c r="R69" s="47"/>
      <c r="S69" s="18"/>
      <c r="T69" s="18"/>
      <c r="U69" s="18"/>
      <c r="V69" s="18"/>
      <c r="W69" s="18"/>
      <c r="X69" s="18"/>
      <c r="Y69" s="19"/>
    </row>
    <row r="70" ht="20" customHeight="1">
      <c r="A70" s="40"/>
      <c r="B70" t="s" s="68">
        <v>62</v>
      </c>
      <c r="C70" s="79"/>
      <c r="D70" s="70">
        <v>0</v>
      </c>
      <c r="E70" s="70">
        <v>0</v>
      </c>
      <c r="F70" s="70">
        <v>0</v>
      </c>
      <c r="G70" s="70">
        <v>0</v>
      </c>
      <c r="H70" s="70">
        <v>0</v>
      </c>
      <c r="I70" s="70">
        <v>0</v>
      </c>
      <c r="J70" s="70">
        <v>0</v>
      </c>
      <c r="K70" s="70">
        <v>0</v>
      </c>
      <c r="L70" s="70">
        <v>0</v>
      </c>
      <c r="M70" s="70">
        <v>0</v>
      </c>
      <c r="N70" s="70">
        <v>0</v>
      </c>
      <c r="O70" s="70">
        <v>0</v>
      </c>
      <c r="P70" s="46"/>
      <c r="Q70" s="70" cm="1">
        <f t="array" ref="Q70">SUM(D70:O70)</f>
        <v>0</v>
      </c>
      <c r="R70" s="47"/>
      <c r="S70" s="18"/>
      <c r="T70" s="18"/>
      <c r="U70" s="18"/>
      <c r="V70" s="18"/>
      <c r="W70" s="18"/>
      <c r="X70" s="18"/>
      <c r="Y70" s="19"/>
    </row>
    <row r="71" ht="20" customHeight="1">
      <c r="A71" s="40"/>
      <c r="B71" t="s" s="68">
        <v>63</v>
      </c>
      <c r="C71" s="79"/>
      <c r="D71" s="70">
        <v>0</v>
      </c>
      <c r="E71" s="70">
        <v>0</v>
      </c>
      <c r="F71" s="70">
        <v>0</v>
      </c>
      <c r="G71" s="70">
        <v>0</v>
      </c>
      <c r="H71" s="70">
        <v>0</v>
      </c>
      <c r="I71" s="70">
        <v>0</v>
      </c>
      <c r="J71" s="70">
        <v>0</v>
      </c>
      <c r="K71" s="70">
        <v>0</v>
      </c>
      <c r="L71" s="70">
        <v>0</v>
      </c>
      <c r="M71" s="70">
        <v>0</v>
      </c>
      <c r="N71" s="70">
        <v>0</v>
      </c>
      <c r="O71" s="70">
        <v>0</v>
      </c>
      <c r="P71" s="46"/>
      <c r="Q71" s="70" cm="1">
        <f t="array" ref="Q71">SUM(D71:O71)</f>
        <v>0</v>
      </c>
      <c r="R71" s="47"/>
      <c r="S71" s="18"/>
      <c r="T71" s="18"/>
      <c r="U71" s="18"/>
      <c r="V71" s="18"/>
      <c r="W71" s="18"/>
      <c r="X71" s="18"/>
      <c r="Y71" s="19"/>
    </row>
    <row r="72" ht="20" customHeight="1">
      <c r="A72" s="40"/>
      <c r="B72" t="s" s="68">
        <v>64</v>
      </c>
      <c r="C72" s="79"/>
      <c r="D72" s="70">
        <v>0</v>
      </c>
      <c r="E72" s="70">
        <v>0</v>
      </c>
      <c r="F72" s="70">
        <v>0</v>
      </c>
      <c r="G72" s="70">
        <v>0</v>
      </c>
      <c r="H72" s="70">
        <v>0</v>
      </c>
      <c r="I72" s="70">
        <v>0</v>
      </c>
      <c r="J72" s="70">
        <v>0</v>
      </c>
      <c r="K72" s="70">
        <v>0</v>
      </c>
      <c r="L72" s="70">
        <v>0</v>
      </c>
      <c r="M72" s="70">
        <v>0</v>
      </c>
      <c r="N72" s="70">
        <v>0</v>
      </c>
      <c r="O72" s="70">
        <v>0</v>
      </c>
      <c r="P72" s="46"/>
      <c r="Q72" s="70" cm="1">
        <f t="array" ref="Q72">SUM(D72:O72)</f>
        <v>0</v>
      </c>
      <c r="R72" s="47"/>
      <c r="S72" s="18"/>
      <c r="T72" s="18"/>
      <c r="U72" s="18"/>
      <c r="V72" s="18"/>
      <c r="W72" s="18"/>
      <c r="X72" s="18"/>
      <c r="Y72" s="19"/>
    </row>
    <row r="73" ht="20" customHeight="1">
      <c r="A73" s="40"/>
      <c r="B73" t="s" s="68">
        <v>65</v>
      </c>
      <c r="C73" s="79"/>
      <c r="D73" s="70">
        <v>0</v>
      </c>
      <c r="E73" s="70">
        <v>0</v>
      </c>
      <c r="F73" s="70">
        <v>0</v>
      </c>
      <c r="G73" s="70">
        <v>0</v>
      </c>
      <c r="H73" s="70">
        <v>0</v>
      </c>
      <c r="I73" s="70">
        <v>0</v>
      </c>
      <c r="J73" s="70">
        <v>0</v>
      </c>
      <c r="K73" s="70">
        <v>0</v>
      </c>
      <c r="L73" s="70">
        <v>0</v>
      </c>
      <c r="M73" s="70">
        <v>0</v>
      </c>
      <c r="N73" s="70">
        <v>0</v>
      </c>
      <c r="O73" s="70">
        <v>0</v>
      </c>
      <c r="P73" s="46"/>
      <c r="Q73" s="70" cm="1">
        <f t="array" ref="Q73">SUM(D73:O73)</f>
        <v>0</v>
      </c>
      <c r="R73" s="47"/>
      <c r="S73" s="18"/>
      <c r="T73" s="18"/>
      <c r="U73" s="18"/>
      <c r="V73" s="18"/>
      <c r="W73" s="18"/>
      <c r="X73" s="18"/>
      <c r="Y73" s="19"/>
    </row>
    <row r="74" ht="20" customHeight="1">
      <c r="A74" s="40"/>
      <c r="B74" t="s" s="68">
        <v>50</v>
      </c>
      <c r="C74" s="79"/>
      <c r="D74" s="70">
        <v>0</v>
      </c>
      <c r="E74" s="70">
        <v>0</v>
      </c>
      <c r="F74" s="70">
        <v>0</v>
      </c>
      <c r="G74" s="70">
        <v>0</v>
      </c>
      <c r="H74" s="70">
        <v>0</v>
      </c>
      <c r="I74" s="70">
        <v>0</v>
      </c>
      <c r="J74" s="70">
        <v>0</v>
      </c>
      <c r="K74" s="70">
        <v>0</v>
      </c>
      <c r="L74" s="70">
        <v>0</v>
      </c>
      <c r="M74" s="70">
        <v>0</v>
      </c>
      <c r="N74" s="70">
        <v>0</v>
      </c>
      <c r="O74" s="70">
        <v>0</v>
      </c>
      <c r="P74" s="46"/>
      <c r="Q74" s="70" cm="1">
        <f t="array" ref="Q74">SUM(D74:O74)</f>
        <v>0</v>
      </c>
      <c r="R74" s="47"/>
      <c r="S74" s="18"/>
      <c r="T74" s="18"/>
      <c r="U74" s="18"/>
      <c r="V74" s="18"/>
      <c r="W74" s="18"/>
      <c r="X74" s="18"/>
      <c r="Y74" s="19"/>
    </row>
    <row r="75" ht="20" customHeight="1">
      <c r="A75" s="40"/>
      <c r="B75" t="s" s="72">
        <v>66</v>
      </c>
      <c r="C75" s="42"/>
      <c r="D75" s="43" cm="1">
        <f t="array" ref="D75">SUM(D69:D74)</f>
        <v>0</v>
      </c>
      <c r="E75" s="43" cm="1">
        <f t="array" ref="E75">SUM(E69:E74)</f>
        <v>0</v>
      </c>
      <c r="F75" s="43" cm="1">
        <f t="array" ref="F75">SUM(F69:F74)</f>
        <v>0</v>
      </c>
      <c r="G75" s="43" cm="1">
        <f t="array" ref="G75">SUM(G69:G74)</f>
        <v>0</v>
      </c>
      <c r="H75" s="43" cm="1">
        <f t="array" ref="H75">SUM(H69:H74)</f>
        <v>0</v>
      </c>
      <c r="I75" s="43" cm="1">
        <f t="array" ref="I75">SUM(I69:I74)</f>
        <v>0</v>
      </c>
      <c r="J75" s="43" cm="1">
        <f t="array" ref="J75">SUM(J69:J74)</f>
        <v>0</v>
      </c>
      <c r="K75" s="43" cm="1">
        <f t="array" ref="K75">SUM(K69:K74)</f>
        <v>0</v>
      </c>
      <c r="L75" s="43" cm="1">
        <f t="array" ref="L75">SUM(L69:L74)</f>
        <v>0</v>
      </c>
      <c r="M75" s="43" cm="1">
        <f t="array" ref="M75">SUM(M69:M74)</f>
        <v>0</v>
      </c>
      <c r="N75" s="43" cm="1">
        <f t="array" ref="N75">SUM(N69:N74)</f>
        <v>0</v>
      </c>
      <c r="O75" s="43" cm="1">
        <f t="array" ref="O75">SUM(O69:O74)</f>
        <v>0</v>
      </c>
      <c r="P75" s="46"/>
      <c r="Q75" s="43" cm="1">
        <f t="array" ref="Q75">SUM(Q69:Q74)</f>
        <v>0</v>
      </c>
      <c r="R75" s="47"/>
      <c r="S75" s="18"/>
      <c r="T75" s="18"/>
      <c r="U75" s="18"/>
      <c r="V75" s="18"/>
      <c r="W75" s="18"/>
      <c r="X75" s="18"/>
      <c r="Y75" s="19"/>
    </row>
    <row r="76" ht="20" customHeight="1">
      <c r="A76" s="27"/>
      <c r="B76" s="97"/>
      <c r="C76" s="74"/>
      <c r="D76" s="97"/>
      <c r="E76" s="97"/>
      <c r="F76" s="97"/>
      <c r="G76" s="97"/>
      <c r="H76" s="97"/>
      <c r="I76" s="97"/>
      <c r="J76" s="97"/>
      <c r="K76" s="97"/>
      <c r="L76" s="97"/>
      <c r="M76" s="97"/>
      <c r="N76" s="97"/>
      <c r="O76" s="97"/>
      <c r="P76" s="18"/>
      <c r="Q76" s="97"/>
      <c r="R76" s="18"/>
      <c r="S76" s="18"/>
      <c r="T76" s="18"/>
      <c r="U76" s="18"/>
      <c r="V76" s="18"/>
      <c r="W76" s="18"/>
      <c r="X76" s="18"/>
      <c r="Y76" s="19"/>
    </row>
    <row r="77" ht="20" customHeight="1">
      <c r="A77" s="40"/>
      <c r="B77" t="s" s="92">
        <v>67</v>
      </c>
      <c r="C77" t="s" s="67">
        <v>11</v>
      </c>
      <c r="D77" t="s" s="67">
        <v>12</v>
      </c>
      <c r="E77" t="s" s="67">
        <v>13</v>
      </c>
      <c r="F77" t="s" s="67">
        <v>14</v>
      </c>
      <c r="G77" t="s" s="67">
        <v>15</v>
      </c>
      <c r="H77" t="s" s="67">
        <v>16</v>
      </c>
      <c r="I77" t="s" s="67">
        <v>17</v>
      </c>
      <c r="J77" t="s" s="67">
        <v>18</v>
      </c>
      <c r="K77" t="s" s="67">
        <v>19</v>
      </c>
      <c r="L77" t="s" s="67">
        <v>20</v>
      </c>
      <c r="M77" t="s" s="67">
        <v>21</v>
      </c>
      <c r="N77" t="s" s="67">
        <v>22</v>
      </c>
      <c r="O77" t="s" s="67">
        <v>23</v>
      </c>
      <c r="P77" s="46"/>
      <c r="Q77" t="s" s="67">
        <v>24</v>
      </c>
      <c r="R77" s="47"/>
      <c r="S77" s="18"/>
      <c r="T77" s="18"/>
      <c r="U77" s="18"/>
      <c r="V77" s="18"/>
      <c r="W77" s="18"/>
      <c r="X77" s="18"/>
      <c r="Y77" s="19"/>
    </row>
    <row r="78" ht="20" customHeight="1">
      <c r="A78" s="40"/>
      <c r="B78" t="s" s="68">
        <v>68</v>
      </c>
      <c r="C78" t="s" s="68">
        <v>69</v>
      </c>
      <c r="D78" s="70">
        <v>0</v>
      </c>
      <c r="E78" s="70">
        <v>0</v>
      </c>
      <c r="F78" s="70">
        <v>0</v>
      </c>
      <c r="G78" s="70">
        <v>0</v>
      </c>
      <c r="H78" s="70">
        <v>0</v>
      </c>
      <c r="I78" s="70">
        <v>0</v>
      </c>
      <c r="J78" s="70">
        <v>0</v>
      </c>
      <c r="K78" s="70">
        <v>0</v>
      </c>
      <c r="L78" s="70">
        <v>0</v>
      </c>
      <c r="M78" s="70">
        <v>0</v>
      </c>
      <c r="N78" s="70">
        <v>0</v>
      </c>
      <c r="O78" s="70">
        <v>0</v>
      </c>
      <c r="P78" s="46"/>
      <c r="Q78" s="70" cm="1">
        <f t="array" ref="Q78">SUM(D78:O78)</f>
        <v>0</v>
      </c>
      <c r="R78" s="47"/>
      <c r="S78" s="18"/>
      <c r="T78" s="18"/>
      <c r="U78" s="18"/>
      <c r="V78" s="18"/>
      <c r="W78" s="18"/>
      <c r="X78" s="18"/>
      <c r="Y78" s="19"/>
    </row>
    <row r="79" ht="20" customHeight="1">
      <c r="A79" s="40"/>
      <c r="B79" t="s" s="68">
        <v>70</v>
      </c>
      <c r="C79" t="s" s="68">
        <v>59</v>
      </c>
      <c r="D79" s="70">
        <v>0</v>
      </c>
      <c r="E79" s="70">
        <v>0</v>
      </c>
      <c r="F79" s="70">
        <v>0</v>
      </c>
      <c r="G79" s="70">
        <v>0</v>
      </c>
      <c r="H79" s="70">
        <v>0</v>
      </c>
      <c r="I79" s="70">
        <v>0</v>
      </c>
      <c r="J79" s="70">
        <v>0</v>
      </c>
      <c r="K79" s="70">
        <v>0</v>
      </c>
      <c r="L79" s="70">
        <v>0</v>
      </c>
      <c r="M79" s="70">
        <v>0</v>
      </c>
      <c r="N79" s="70">
        <v>0</v>
      </c>
      <c r="O79" s="70">
        <v>0</v>
      </c>
      <c r="P79" s="46"/>
      <c r="Q79" s="70" cm="1">
        <f t="array" ref="Q79">SUM(D79:O79)</f>
        <v>0</v>
      </c>
      <c r="R79" s="47"/>
      <c r="S79" s="18"/>
      <c r="T79" s="18"/>
      <c r="U79" s="18"/>
      <c r="V79" s="18"/>
      <c r="W79" s="18"/>
      <c r="X79" s="18"/>
      <c r="Y79" s="19"/>
    </row>
    <row r="80" ht="20" customHeight="1">
      <c r="A80" s="40"/>
      <c r="B80" t="s" s="68">
        <v>71</v>
      </c>
      <c r="C80" t="s" s="68">
        <v>72</v>
      </c>
      <c r="D80" s="70">
        <v>0</v>
      </c>
      <c r="E80" s="70">
        <v>0</v>
      </c>
      <c r="F80" s="70">
        <v>0</v>
      </c>
      <c r="G80" s="70">
        <v>0</v>
      </c>
      <c r="H80" s="70">
        <v>0</v>
      </c>
      <c r="I80" s="70">
        <v>0</v>
      </c>
      <c r="J80" s="70">
        <v>0</v>
      </c>
      <c r="K80" s="70">
        <v>0</v>
      </c>
      <c r="L80" s="70">
        <v>0</v>
      </c>
      <c r="M80" s="70">
        <v>0</v>
      </c>
      <c r="N80" s="70">
        <v>0</v>
      </c>
      <c r="O80" s="70">
        <v>0</v>
      </c>
      <c r="P80" s="46"/>
      <c r="Q80" s="70" cm="1">
        <f t="array" ref="Q80">SUM(D80:O80)</f>
        <v>0</v>
      </c>
      <c r="R80" s="47"/>
      <c r="S80" s="18"/>
      <c r="T80" s="18"/>
      <c r="U80" s="18"/>
      <c r="V80" s="18"/>
      <c r="W80" s="18"/>
      <c r="X80" s="18"/>
      <c r="Y80" s="19"/>
    </row>
    <row r="81" ht="20" customHeight="1">
      <c r="A81" s="40"/>
      <c r="B81" t="s" s="68">
        <v>73</v>
      </c>
      <c r="C81" t="s" s="68">
        <v>59</v>
      </c>
      <c r="D81" s="70">
        <v>0</v>
      </c>
      <c r="E81" s="70">
        <v>0</v>
      </c>
      <c r="F81" s="70">
        <v>0</v>
      </c>
      <c r="G81" s="70">
        <v>0</v>
      </c>
      <c r="H81" s="70">
        <v>0</v>
      </c>
      <c r="I81" s="70">
        <v>0</v>
      </c>
      <c r="J81" s="70">
        <v>0</v>
      </c>
      <c r="K81" s="70">
        <v>0</v>
      </c>
      <c r="L81" s="70">
        <v>0</v>
      </c>
      <c r="M81" s="70">
        <v>0</v>
      </c>
      <c r="N81" s="70">
        <v>0</v>
      </c>
      <c r="O81" s="70">
        <v>0</v>
      </c>
      <c r="P81" s="46"/>
      <c r="Q81" s="70" cm="1">
        <f t="array" ref="Q81">SUM(D81:O81)</f>
        <v>0</v>
      </c>
      <c r="R81" s="47"/>
      <c r="S81" s="18"/>
      <c r="T81" s="18"/>
      <c r="U81" s="18"/>
      <c r="V81" s="18"/>
      <c r="W81" s="18"/>
      <c r="X81" s="18"/>
      <c r="Y81" s="19"/>
    </row>
    <row r="82" ht="20" customHeight="1">
      <c r="A82" s="40"/>
      <c r="B82" t="s" s="68">
        <v>74</v>
      </c>
      <c r="C82" t="s" s="68">
        <v>59</v>
      </c>
      <c r="D82" s="70">
        <v>0</v>
      </c>
      <c r="E82" s="70">
        <v>0</v>
      </c>
      <c r="F82" s="70">
        <v>0</v>
      </c>
      <c r="G82" s="70">
        <v>0</v>
      </c>
      <c r="H82" s="70">
        <v>0</v>
      </c>
      <c r="I82" s="70">
        <v>0</v>
      </c>
      <c r="J82" s="70">
        <v>0</v>
      </c>
      <c r="K82" s="70">
        <v>0</v>
      </c>
      <c r="L82" s="70">
        <v>0</v>
      </c>
      <c r="M82" s="70">
        <v>0</v>
      </c>
      <c r="N82" s="70">
        <v>0</v>
      </c>
      <c r="O82" s="70">
        <v>0</v>
      </c>
      <c r="P82" s="46"/>
      <c r="Q82" s="70" cm="1">
        <f t="array" ref="Q82">SUM(D82:O82)</f>
        <v>0</v>
      </c>
      <c r="R82" s="47"/>
      <c r="S82" s="18"/>
      <c r="T82" s="18"/>
      <c r="U82" s="18"/>
      <c r="V82" s="18"/>
      <c r="W82" s="18"/>
      <c r="X82" s="18"/>
      <c r="Y82" s="19"/>
    </row>
    <row r="83" ht="20" customHeight="1">
      <c r="A83" s="40"/>
      <c r="B83" t="s" s="68">
        <v>75</v>
      </c>
      <c r="C83" t="s" s="68">
        <v>59</v>
      </c>
      <c r="D83" s="70">
        <v>0</v>
      </c>
      <c r="E83" s="70">
        <v>0</v>
      </c>
      <c r="F83" s="70">
        <v>0</v>
      </c>
      <c r="G83" s="70">
        <v>0</v>
      </c>
      <c r="H83" s="70">
        <v>0</v>
      </c>
      <c r="I83" s="70">
        <v>0</v>
      </c>
      <c r="J83" s="70">
        <v>0</v>
      </c>
      <c r="K83" s="70">
        <v>0</v>
      </c>
      <c r="L83" s="70">
        <v>0</v>
      </c>
      <c r="M83" s="70">
        <v>0</v>
      </c>
      <c r="N83" s="70">
        <v>0</v>
      </c>
      <c r="O83" s="70">
        <v>0</v>
      </c>
      <c r="P83" s="46"/>
      <c r="Q83" s="70" cm="1">
        <f t="array" ref="Q83">SUM(D83:O83)</f>
        <v>0</v>
      </c>
      <c r="R83" s="47"/>
      <c r="S83" s="18"/>
      <c r="T83" s="18"/>
      <c r="U83" s="18"/>
      <c r="V83" s="18"/>
      <c r="W83" s="18"/>
      <c r="X83" s="18"/>
      <c r="Y83" s="19"/>
    </row>
    <row r="84" ht="20" customHeight="1">
      <c r="A84" s="40"/>
      <c r="B84" t="s" s="68">
        <v>76</v>
      </c>
      <c r="C84" s="79"/>
      <c r="D84" s="70">
        <v>0</v>
      </c>
      <c r="E84" s="70">
        <v>0</v>
      </c>
      <c r="F84" s="70">
        <v>0</v>
      </c>
      <c r="G84" s="70">
        <v>0</v>
      </c>
      <c r="H84" s="70">
        <v>0</v>
      </c>
      <c r="I84" s="70">
        <v>0</v>
      </c>
      <c r="J84" s="70">
        <v>0</v>
      </c>
      <c r="K84" s="70">
        <v>0</v>
      </c>
      <c r="L84" s="70">
        <v>0</v>
      </c>
      <c r="M84" s="70">
        <v>0</v>
      </c>
      <c r="N84" s="70">
        <v>0</v>
      </c>
      <c r="O84" s="70">
        <v>0</v>
      </c>
      <c r="P84" s="46"/>
      <c r="Q84" s="70" cm="1">
        <f t="array" ref="Q84">SUM(D84:O84)</f>
        <v>0</v>
      </c>
      <c r="R84" s="47"/>
      <c r="S84" s="18"/>
      <c r="T84" s="18"/>
      <c r="U84" s="18"/>
      <c r="V84" s="18"/>
      <c r="W84" s="18"/>
      <c r="X84" s="18"/>
      <c r="Y84" s="19"/>
    </row>
    <row r="85" ht="20" customHeight="1">
      <c r="A85" s="40"/>
      <c r="B85" t="s" s="68">
        <v>77</v>
      </c>
      <c r="C85" s="79"/>
      <c r="D85" s="70">
        <v>0</v>
      </c>
      <c r="E85" s="70">
        <v>0</v>
      </c>
      <c r="F85" s="70">
        <v>0</v>
      </c>
      <c r="G85" s="70">
        <v>0</v>
      </c>
      <c r="H85" s="70">
        <v>0</v>
      </c>
      <c r="I85" s="70">
        <v>0</v>
      </c>
      <c r="J85" s="70">
        <v>0</v>
      </c>
      <c r="K85" s="70">
        <v>0</v>
      </c>
      <c r="L85" s="70">
        <v>0</v>
      </c>
      <c r="M85" s="70">
        <v>0</v>
      </c>
      <c r="N85" s="70">
        <v>0</v>
      </c>
      <c r="O85" s="70">
        <v>0</v>
      </c>
      <c r="P85" s="46"/>
      <c r="Q85" s="70" cm="1">
        <f t="array" ref="Q85">SUM(D85:O85)</f>
        <v>0</v>
      </c>
      <c r="R85" s="47"/>
      <c r="S85" s="18"/>
      <c r="T85" s="18"/>
      <c r="U85" s="18"/>
      <c r="V85" s="18"/>
      <c r="W85" s="18"/>
      <c r="X85" s="18"/>
      <c r="Y85" s="19"/>
    </row>
    <row r="86" ht="20" customHeight="1">
      <c r="A86" s="40"/>
      <c r="B86" t="s" s="68">
        <v>78</v>
      </c>
      <c r="C86" s="79"/>
      <c r="D86" s="70">
        <v>0</v>
      </c>
      <c r="E86" s="70">
        <v>0</v>
      </c>
      <c r="F86" s="70">
        <v>0</v>
      </c>
      <c r="G86" s="70">
        <v>0</v>
      </c>
      <c r="H86" s="70">
        <v>0</v>
      </c>
      <c r="I86" s="70">
        <v>0</v>
      </c>
      <c r="J86" s="70">
        <v>0</v>
      </c>
      <c r="K86" s="70">
        <v>0</v>
      </c>
      <c r="L86" s="70">
        <v>0</v>
      </c>
      <c r="M86" s="70">
        <v>0</v>
      </c>
      <c r="N86" s="70">
        <v>0</v>
      </c>
      <c r="O86" s="70">
        <v>0</v>
      </c>
      <c r="P86" s="46"/>
      <c r="Q86" s="70" cm="1">
        <f t="array" ref="Q86">SUM(D86:O86)</f>
        <v>0</v>
      </c>
      <c r="R86" s="47"/>
      <c r="S86" s="18"/>
      <c r="T86" s="18"/>
      <c r="U86" s="18"/>
      <c r="V86" s="18"/>
      <c r="W86" s="18"/>
      <c r="X86" s="18"/>
      <c r="Y86" s="19"/>
    </row>
    <row r="87" ht="20" customHeight="1">
      <c r="A87" s="40"/>
      <c r="B87" t="s" s="68">
        <v>79</v>
      </c>
      <c r="C87" s="79"/>
      <c r="D87" s="70">
        <v>0</v>
      </c>
      <c r="E87" s="70">
        <v>0</v>
      </c>
      <c r="F87" s="70">
        <v>0</v>
      </c>
      <c r="G87" s="70">
        <v>0</v>
      </c>
      <c r="H87" s="70">
        <v>0</v>
      </c>
      <c r="I87" s="70">
        <v>0</v>
      </c>
      <c r="J87" s="70">
        <v>0</v>
      </c>
      <c r="K87" s="70">
        <v>0</v>
      </c>
      <c r="L87" s="70">
        <v>0</v>
      </c>
      <c r="M87" s="70">
        <v>0</v>
      </c>
      <c r="N87" s="70">
        <v>0</v>
      </c>
      <c r="O87" s="70">
        <v>0</v>
      </c>
      <c r="P87" s="46"/>
      <c r="Q87" s="70" cm="1">
        <f t="array" ref="Q87">SUM(D87:O87)</f>
        <v>0</v>
      </c>
      <c r="R87" s="47"/>
      <c r="S87" s="18"/>
      <c r="T87" s="18"/>
      <c r="U87" s="18"/>
      <c r="V87" s="18"/>
      <c r="W87" s="18"/>
      <c r="X87" s="18"/>
      <c r="Y87" s="19"/>
    </row>
    <row r="88" ht="20" customHeight="1">
      <c r="A88" s="40"/>
      <c r="B88" t="s" s="68">
        <v>80</v>
      </c>
      <c r="C88" s="79"/>
      <c r="D88" s="70">
        <v>0</v>
      </c>
      <c r="E88" s="70">
        <v>0</v>
      </c>
      <c r="F88" s="70">
        <v>0</v>
      </c>
      <c r="G88" s="70">
        <v>0</v>
      </c>
      <c r="H88" s="70">
        <v>0</v>
      </c>
      <c r="I88" s="70">
        <v>0</v>
      </c>
      <c r="J88" s="70">
        <v>0</v>
      </c>
      <c r="K88" s="70">
        <v>0</v>
      </c>
      <c r="L88" s="70">
        <v>0</v>
      </c>
      <c r="M88" s="70">
        <v>0</v>
      </c>
      <c r="N88" s="70">
        <v>0</v>
      </c>
      <c r="O88" s="70">
        <v>0</v>
      </c>
      <c r="P88" s="46"/>
      <c r="Q88" s="70" cm="1">
        <f t="array" ref="Q88">SUM(D88:O88)</f>
        <v>0</v>
      </c>
      <c r="R88" s="47"/>
      <c r="S88" s="18"/>
      <c r="T88" s="18"/>
      <c r="U88" s="18"/>
      <c r="V88" s="18"/>
      <c r="W88" s="18"/>
      <c r="X88" s="18"/>
      <c r="Y88" s="19"/>
    </row>
    <row r="89" ht="20" customHeight="1">
      <c r="A89" s="40"/>
      <c r="B89" t="s" s="68">
        <v>81</v>
      </c>
      <c r="C89" s="79"/>
      <c r="D89" s="70">
        <v>0</v>
      </c>
      <c r="E89" s="70">
        <v>0</v>
      </c>
      <c r="F89" s="70">
        <v>0</v>
      </c>
      <c r="G89" s="70">
        <v>0</v>
      </c>
      <c r="H89" s="70">
        <v>0</v>
      </c>
      <c r="I89" s="70">
        <v>0</v>
      </c>
      <c r="J89" s="70">
        <v>0</v>
      </c>
      <c r="K89" s="70">
        <v>0</v>
      </c>
      <c r="L89" s="70">
        <v>0</v>
      </c>
      <c r="M89" s="70">
        <v>0</v>
      </c>
      <c r="N89" s="70">
        <v>0</v>
      </c>
      <c r="O89" s="70">
        <v>0</v>
      </c>
      <c r="P89" s="46"/>
      <c r="Q89" s="70" cm="1">
        <f t="array" ref="Q89">SUM(D89:O89)</f>
        <v>0</v>
      </c>
      <c r="R89" s="47"/>
      <c r="S89" s="18"/>
      <c r="T89" s="18"/>
      <c r="U89" s="18"/>
      <c r="V89" s="18"/>
      <c r="W89" s="18"/>
      <c r="X89" s="18"/>
      <c r="Y89" s="19"/>
    </row>
    <row r="90" ht="20" customHeight="1">
      <c r="A90" s="40"/>
      <c r="B90" t="s" s="68">
        <v>82</v>
      </c>
      <c r="C90" s="79"/>
      <c r="D90" s="70">
        <v>0</v>
      </c>
      <c r="E90" s="70">
        <v>0</v>
      </c>
      <c r="F90" s="70">
        <v>0</v>
      </c>
      <c r="G90" s="70">
        <v>0</v>
      </c>
      <c r="H90" s="70">
        <v>0</v>
      </c>
      <c r="I90" s="70">
        <v>0</v>
      </c>
      <c r="J90" s="70">
        <v>0</v>
      </c>
      <c r="K90" s="70">
        <v>0</v>
      </c>
      <c r="L90" s="70">
        <v>0</v>
      </c>
      <c r="M90" s="70">
        <v>0</v>
      </c>
      <c r="N90" s="70">
        <v>0</v>
      </c>
      <c r="O90" s="70">
        <v>0</v>
      </c>
      <c r="P90" s="46"/>
      <c r="Q90" s="70" cm="1">
        <f t="array" ref="Q90">SUM(D90:O90)</f>
        <v>0</v>
      </c>
      <c r="R90" s="47"/>
      <c r="S90" s="18"/>
      <c r="T90" s="18"/>
      <c r="U90" s="18"/>
      <c r="V90" s="18"/>
      <c r="W90" s="18"/>
      <c r="X90" s="18"/>
      <c r="Y90" s="19"/>
    </row>
    <row r="91" ht="20" customHeight="1">
      <c r="A91" s="40"/>
      <c r="B91" t="s" s="68">
        <v>83</v>
      </c>
      <c r="C91" s="79"/>
      <c r="D91" s="70">
        <v>0</v>
      </c>
      <c r="E91" s="70">
        <v>0</v>
      </c>
      <c r="F91" s="70">
        <v>0</v>
      </c>
      <c r="G91" s="70">
        <v>0</v>
      </c>
      <c r="H91" s="70">
        <v>0</v>
      </c>
      <c r="I91" s="70">
        <v>0</v>
      </c>
      <c r="J91" s="70">
        <v>0</v>
      </c>
      <c r="K91" s="70">
        <v>0</v>
      </c>
      <c r="L91" s="70">
        <v>0</v>
      </c>
      <c r="M91" s="70">
        <v>0</v>
      </c>
      <c r="N91" s="70">
        <v>0</v>
      </c>
      <c r="O91" s="70">
        <v>0</v>
      </c>
      <c r="P91" s="46"/>
      <c r="Q91" s="70" cm="1">
        <f t="array" ref="Q91">SUM(D91:O91)</f>
        <v>0</v>
      </c>
      <c r="R91" s="47"/>
      <c r="S91" s="18"/>
      <c r="T91" s="18"/>
      <c r="U91" s="18"/>
      <c r="V91" s="18"/>
      <c r="W91" s="18"/>
      <c r="X91" s="18"/>
      <c r="Y91" s="19"/>
    </row>
    <row r="92" ht="20" customHeight="1">
      <c r="A92" s="40"/>
      <c r="B92" t="s" s="68">
        <v>84</v>
      </c>
      <c r="C92" s="79"/>
      <c r="D92" s="70">
        <v>0</v>
      </c>
      <c r="E92" s="70">
        <v>0</v>
      </c>
      <c r="F92" s="70">
        <v>0</v>
      </c>
      <c r="G92" s="70">
        <v>0</v>
      </c>
      <c r="H92" s="70">
        <v>0</v>
      </c>
      <c r="I92" s="70">
        <v>0</v>
      </c>
      <c r="J92" s="70">
        <v>0</v>
      </c>
      <c r="K92" s="70">
        <v>0</v>
      </c>
      <c r="L92" s="70">
        <v>0</v>
      </c>
      <c r="M92" s="70">
        <v>0</v>
      </c>
      <c r="N92" s="70">
        <v>0</v>
      </c>
      <c r="O92" s="70">
        <v>0</v>
      </c>
      <c r="P92" s="46"/>
      <c r="Q92" s="70" cm="1">
        <f t="array" ref="Q92">SUM(D92:O92)</f>
        <v>0</v>
      </c>
      <c r="R92" s="47"/>
      <c r="S92" s="18"/>
      <c r="T92" s="18"/>
      <c r="U92" s="18"/>
      <c r="V92" s="18"/>
      <c r="W92" s="18"/>
      <c r="X92" s="18"/>
      <c r="Y92" s="19"/>
    </row>
    <row r="93" ht="20" customHeight="1">
      <c r="A93" s="40"/>
      <c r="B93" t="s" s="68">
        <v>85</v>
      </c>
      <c r="C93" s="79"/>
      <c r="D93" s="70">
        <v>0</v>
      </c>
      <c r="E93" s="70">
        <v>0</v>
      </c>
      <c r="F93" s="70">
        <v>0</v>
      </c>
      <c r="G93" s="70">
        <v>0</v>
      </c>
      <c r="H93" s="70">
        <v>0</v>
      </c>
      <c r="I93" s="70">
        <v>0</v>
      </c>
      <c r="J93" s="70">
        <v>0</v>
      </c>
      <c r="K93" s="70">
        <v>0</v>
      </c>
      <c r="L93" s="70">
        <v>0</v>
      </c>
      <c r="M93" s="70">
        <v>0</v>
      </c>
      <c r="N93" s="70">
        <v>0</v>
      </c>
      <c r="O93" s="70">
        <v>0</v>
      </c>
      <c r="P93" s="46"/>
      <c r="Q93" s="70" cm="1">
        <f t="array" ref="Q93">SUM(D93:O93)</f>
        <v>0</v>
      </c>
      <c r="R93" s="47"/>
      <c r="S93" s="18"/>
      <c r="T93" s="18"/>
      <c r="U93" s="18"/>
      <c r="V93" s="18"/>
      <c r="W93" s="18"/>
      <c r="X93" s="18"/>
      <c r="Y93" s="19"/>
    </row>
    <row r="94" ht="20" customHeight="1">
      <c r="A94" s="40"/>
      <c r="B94" t="s" s="68">
        <v>86</v>
      </c>
      <c r="C94" s="79"/>
      <c r="D94" s="70">
        <v>0</v>
      </c>
      <c r="E94" s="70">
        <v>0</v>
      </c>
      <c r="F94" s="70">
        <v>0</v>
      </c>
      <c r="G94" s="70">
        <v>0</v>
      </c>
      <c r="H94" s="70">
        <v>0</v>
      </c>
      <c r="I94" s="70">
        <v>0</v>
      </c>
      <c r="J94" s="70">
        <v>0</v>
      </c>
      <c r="K94" s="70">
        <v>0</v>
      </c>
      <c r="L94" s="70">
        <v>0</v>
      </c>
      <c r="M94" s="70">
        <v>0</v>
      </c>
      <c r="N94" s="70">
        <v>0</v>
      </c>
      <c r="O94" s="70">
        <v>0</v>
      </c>
      <c r="P94" s="46"/>
      <c r="Q94" s="70" cm="1">
        <f t="array" ref="Q94">SUM(D94:O94)</f>
        <v>0</v>
      </c>
      <c r="R94" s="47"/>
      <c r="S94" s="18"/>
      <c r="T94" s="18"/>
      <c r="U94" s="18"/>
      <c r="V94" s="18"/>
      <c r="W94" s="18"/>
      <c r="X94" s="18"/>
      <c r="Y94" s="19"/>
    </row>
    <row r="95" ht="20" customHeight="1">
      <c r="A95" s="40"/>
      <c r="B95" t="s" s="68">
        <v>50</v>
      </c>
      <c r="C95" s="79"/>
      <c r="D95" s="70">
        <v>0</v>
      </c>
      <c r="E95" s="70">
        <v>0</v>
      </c>
      <c r="F95" s="70">
        <v>0</v>
      </c>
      <c r="G95" s="70">
        <v>0</v>
      </c>
      <c r="H95" s="70">
        <v>0</v>
      </c>
      <c r="I95" s="70">
        <v>0</v>
      </c>
      <c r="J95" s="70">
        <v>0</v>
      </c>
      <c r="K95" s="70">
        <v>0</v>
      </c>
      <c r="L95" s="70">
        <v>0</v>
      </c>
      <c r="M95" s="70">
        <v>0</v>
      </c>
      <c r="N95" s="70">
        <v>0</v>
      </c>
      <c r="O95" s="70">
        <v>0</v>
      </c>
      <c r="P95" s="46"/>
      <c r="Q95" s="70" cm="1">
        <f t="array" ref="Q95">SUM(D95:O95)</f>
        <v>0</v>
      </c>
      <c r="R95" s="47"/>
      <c r="S95" s="18"/>
      <c r="T95" s="18"/>
      <c r="U95" s="18"/>
      <c r="V95" s="18"/>
      <c r="W95" s="18"/>
      <c r="X95" s="18"/>
      <c r="Y95" s="19"/>
    </row>
    <row r="96" ht="20" customHeight="1">
      <c r="A96" s="40"/>
      <c r="B96" t="s" s="72">
        <v>87</v>
      </c>
      <c r="C96" s="42"/>
      <c r="D96" s="43" cm="1">
        <f t="array" ref="D96">SUM(D78:D95)</f>
        <v>0</v>
      </c>
      <c r="E96" s="43" cm="1">
        <f t="array" ref="E96">SUM(E78:E95)</f>
        <v>0</v>
      </c>
      <c r="F96" s="43" cm="1">
        <f t="array" ref="F96">SUM(F78:F95)</f>
        <v>0</v>
      </c>
      <c r="G96" s="43" cm="1">
        <f t="array" ref="G96">SUM(G78:G95)</f>
        <v>0</v>
      </c>
      <c r="H96" s="43" cm="1">
        <f t="array" ref="H96">SUM(H78:H95)</f>
        <v>0</v>
      </c>
      <c r="I96" s="43" cm="1">
        <f t="array" ref="I96">SUM(I78:I95)</f>
        <v>0</v>
      </c>
      <c r="J96" s="43" cm="1">
        <f t="array" ref="J96">SUM(J78:J95)</f>
        <v>0</v>
      </c>
      <c r="K96" s="43" cm="1">
        <f t="array" ref="K96">SUM(K78:K95)</f>
        <v>0</v>
      </c>
      <c r="L96" s="43" cm="1">
        <f t="array" ref="L96">SUM(L78:L95)</f>
        <v>0</v>
      </c>
      <c r="M96" s="43" cm="1">
        <f t="array" ref="M96">SUM(M78:M95)</f>
        <v>0</v>
      </c>
      <c r="N96" s="43" cm="1">
        <f t="array" ref="N96">SUM(N78:N95)</f>
        <v>0</v>
      </c>
      <c r="O96" s="43" cm="1">
        <f t="array" ref="O96">SUM(O78:O95)</f>
        <v>0</v>
      </c>
      <c r="P96" s="46"/>
      <c r="Q96" s="43" cm="1">
        <f t="array" ref="Q96">SUM(Q78:Q95)</f>
        <v>0</v>
      </c>
      <c r="R96" s="47"/>
      <c r="S96" s="18"/>
      <c r="T96" s="18"/>
      <c r="U96" s="18"/>
      <c r="V96" s="18"/>
      <c r="W96" s="18"/>
      <c r="X96" s="18"/>
      <c r="Y96" s="19"/>
    </row>
    <row r="97" ht="20" customHeight="1">
      <c r="A97" s="27"/>
      <c r="B97" s="97"/>
      <c r="C97" s="74"/>
      <c r="D97" s="97"/>
      <c r="E97" s="97"/>
      <c r="F97" s="97"/>
      <c r="G97" s="97"/>
      <c r="H97" s="97"/>
      <c r="I97" s="97"/>
      <c r="J97" s="97"/>
      <c r="K97" s="97"/>
      <c r="L97" s="97"/>
      <c r="M97" s="97"/>
      <c r="N97" s="97"/>
      <c r="O97" s="97"/>
      <c r="P97" s="18"/>
      <c r="Q97" s="97"/>
      <c r="R97" s="18"/>
      <c r="S97" s="18"/>
      <c r="T97" s="18"/>
      <c r="U97" s="18"/>
      <c r="V97" s="18"/>
      <c r="W97" s="18"/>
      <c r="X97" s="18"/>
      <c r="Y97" s="19"/>
    </row>
    <row r="98" ht="20" customHeight="1">
      <c r="A98" s="40"/>
      <c r="B98" t="s" s="92">
        <v>88</v>
      </c>
      <c r="C98" t="s" s="67">
        <v>11</v>
      </c>
      <c r="D98" t="s" s="67">
        <v>12</v>
      </c>
      <c r="E98" t="s" s="67">
        <v>13</v>
      </c>
      <c r="F98" t="s" s="67">
        <v>14</v>
      </c>
      <c r="G98" t="s" s="67">
        <v>15</v>
      </c>
      <c r="H98" t="s" s="67">
        <v>16</v>
      </c>
      <c r="I98" t="s" s="67">
        <v>17</v>
      </c>
      <c r="J98" t="s" s="67">
        <v>18</v>
      </c>
      <c r="K98" t="s" s="67">
        <v>19</v>
      </c>
      <c r="L98" t="s" s="67">
        <v>20</v>
      </c>
      <c r="M98" t="s" s="67">
        <v>21</v>
      </c>
      <c r="N98" t="s" s="67">
        <v>22</v>
      </c>
      <c r="O98" t="s" s="67">
        <v>23</v>
      </c>
      <c r="P98" s="46"/>
      <c r="Q98" t="s" s="67">
        <v>24</v>
      </c>
      <c r="R98" s="47"/>
      <c r="S98" s="18"/>
      <c r="T98" s="18"/>
      <c r="U98" s="18"/>
      <c r="V98" s="18"/>
      <c r="W98" s="18"/>
      <c r="X98" s="18"/>
      <c r="Y98" s="19"/>
    </row>
    <row r="99" ht="20" customHeight="1">
      <c r="A99" s="40"/>
      <c r="B99" t="s" s="68">
        <v>89</v>
      </c>
      <c r="C99" s="79"/>
      <c r="D99" s="70">
        <v>0</v>
      </c>
      <c r="E99" s="70">
        <v>0</v>
      </c>
      <c r="F99" s="70">
        <v>0</v>
      </c>
      <c r="G99" s="70">
        <v>0</v>
      </c>
      <c r="H99" s="70">
        <v>0</v>
      </c>
      <c r="I99" s="70">
        <v>0</v>
      </c>
      <c r="J99" s="70">
        <v>0</v>
      </c>
      <c r="K99" s="70">
        <v>0</v>
      </c>
      <c r="L99" s="70">
        <v>0</v>
      </c>
      <c r="M99" s="70">
        <v>0</v>
      </c>
      <c r="N99" s="70">
        <v>0</v>
      </c>
      <c r="O99" s="70">
        <v>0</v>
      </c>
      <c r="P99" s="46"/>
      <c r="Q99" s="70" cm="1">
        <f t="array" ref="Q99">SUM(D99:O99)</f>
        <v>0</v>
      </c>
      <c r="R99" s="47"/>
      <c r="S99" s="18"/>
      <c r="T99" s="18"/>
      <c r="U99" s="18"/>
      <c r="V99" s="18"/>
      <c r="W99" s="18"/>
      <c r="X99" s="18"/>
      <c r="Y99" s="19"/>
    </row>
    <row r="100" ht="20" customHeight="1">
      <c r="A100" s="40"/>
      <c r="B100" t="s" s="68">
        <v>90</v>
      </c>
      <c r="C100" s="79"/>
      <c r="D100" s="70">
        <v>0</v>
      </c>
      <c r="E100" s="70">
        <v>0</v>
      </c>
      <c r="F100" s="70">
        <v>0</v>
      </c>
      <c r="G100" s="70">
        <v>0</v>
      </c>
      <c r="H100" s="70">
        <v>0</v>
      </c>
      <c r="I100" s="70">
        <v>0</v>
      </c>
      <c r="J100" s="70">
        <v>0</v>
      </c>
      <c r="K100" s="70">
        <v>0</v>
      </c>
      <c r="L100" s="70">
        <v>0</v>
      </c>
      <c r="M100" s="70">
        <v>0</v>
      </c>
      <c r="N100" s="70">
        <v>0</v>
      </c>
      <c r="O100" s="70">
        <v>0</v>
      </c>
      <c r="P100" s="46"/>
      <c r="Q100" s="70" cm="1">
        <f t="array" ref="Q100">SUM(D100:O100)</f>
        <v>0</v>
      </c>
      <c r="R100" s="47"/>
      <c r="S100" s="18"/>
      <c r="T100" s="18"/>
      <c r="U100" s="18"/>
      <c r="V100" s="18"/>
      <c r="W100" s="18"/>
      <c r="X100" s="18"/>
      <c r="Y100" s="19"/>
    </row>
    <row r="101" ht="20" customHeight="1">
      <c r="A101" s="40"/>
      <c r="B101" t="s" s="68">
        <v>91</v>
      </c>
      <c r="C101" s="79"/>
      <c r="D101" s="70">
        <v>0</v>
      </c>
      <c r="E101" s="70">
        <v>0</v>
      </c>
      <c r="F101" s="70">
        <v>0</v>
      </c>
      <c r="G101" s="70">
        <v>0</v>
      </c>
      <c r="H101" s="70">
        <v>0</v>
      </c>
      <c r="I101" s="70">
        <v>0</v>
      </c>
      <c r="J101" s="70">
        <v>0</v>
      </c>
      <c r="K101" s="70">
        <v>0</v>
      </c>
      <c r="L101" s="70">
        <v>0</v>
      </c>
      <c r="M101" s="70">
        <v>0</v>
      </c>
      <c r="N101" s="70">
        <v>0</v>
      </c>
      <c r="O101" s="70">
        <v>0</v>
      </c>
      <c r="P101" s="46"/>
      <c r="Q101" s="70" cm="1">
        <f t="array" ref="Q101">SUM(D101:O101)</f>
        <v>0</v>
      </c>
      <c r="R101" s="47"/>
      <c r="S101" s="18"/>
      <c r="T101" s="18"/>
      <c r="U101" s="18"/>
      <c r="V101" s="18"/>
      <c r="W101" s="18"/>
      <c r="X101" s="18"/>
      <c r="Y101" s="19"/>
    </row>
    <row r="102" ht="20" customHeight="1">
      <c r="A102" s="40"/>
      <c r="B102" t="s" s="68">
        <v>64</v>
      </c>
      <c r="C102" s="79"/>
      <c r="D102" s="70">
        <v>0</v>
      </c>
      <c r="E102" s="70">
        <v>0</v>
      </c>
      <c r="F102" s="70">
        <v>0</v>
      </c>
      <c r="G102" s="70">
        <v>0</v>
      </c>
      <c r="H102" s="70">
        <v>0</v>
      </c>
      <c r="I102" s="70">
        <v>0</v>
      </c>
      <c r="J102" s="70">
        <v>0</v>
      </c>
      <c r="K102" s="70">
        <v>0</v>
      </c>
      <c r="L102" s="70">
        <v>0</v>
      </c>
      <c r="M102" s="70">
        <v>0</v>
      </c>
      <c r="N102" s="70">
        <v>0</v>
      </c>
      <c r="O102" s="70">
        <v>0</v>
      </c>
      <c r="P102" s="46"/>
      <c r="Q102" s="70" cm="1">
        <f t="array" ref="Q102">SUM(D102:O102)</f>
        <v>0</v>
      </c>
      <c r="R102" s="47"/>
      <c r="S102" s="18"/>
      <c r="T102" s="18"/>
      <c r="U102" s="18"/>
      <c r="V102" s="18"/>
      <c r="W102" s="18"/>
      <c r="X102" s="18"/>
      <c r="Y102" s="19"/>
    </row>
    <row r="103" ht="20" customHeight="1">
      <c r="A103" s="40"/>
      <c r="B103" t="s" s="68">
        <v>50</v>
      </c>
      <c r="C103" s="79"/>
      <c r="D103" s="70">
        <v>0</v>
      </c>
      <c r="E103" s="70">
        <v>0</v>
      </c>
      <c r="F103" s="70">
        <v>0</v>
      </c>
      <c r="G103" s="70">
        <v>0</v>
      </c>
      <c r="H103" s="70">
        <v>0</v>
      </c>
      <c r="I103" s="70">
        <v>0</v>
      </c>
      <c r="J103" s="70">
        <v>0</v>
      </c>
      <c r="K103" s="70">
        <v>0</v>
      </c>
      <c r="L103" s="70">
        <v>0</v>
      </c>
      <c r="M103" s="70">
        <v>0</v>
      </c>
      <c r="N103" s="70">
        <v>0</v>
      </c>
      <c r="O103" s="70">
        <v>0</v>
      </c>
      <c r="P103" s="46"/>
      <c r="Q103" s="70" cm="1">
        <f t="array" ref="Q103">SUM(D103:O103)</f>
        <v>0</v>
      </c>
      <c r="R103" s="47"/>
      <c r="S103" s="18"/>
      <c r="T103" s="18"/>
      <c r="U103" s="18"/>
      <c r="V103" s="18"/>
      <c r="W103" s="18"/>
      <c r="X103" s="18"/>
      <c r="Y103" s="19"/>
    </row>
    <row r="104" ht="20" customHeight="1">
      <c r="A104" s="40"/>
      <c r="B104" t="s" s="72">
        <v>92</v>
      </c>
      <c r="C104" s="42"/>
      <c r="D104" s="43" cm="1">
        <f t="array" ref="D104">SUM(D99:D103)</f>
        <v>0</v>
      </c>
      <c r="E104" s="43" cm="1">
        <f t="array" ref="E104">SUM(E99:E103)</f>
        <v>0</v>
      </c>
      <c r="F104" s="43" cm="1">
        <f t="array" ref="F104">SUM(F99:F103)</f>
        <v>0</v>
      </c>
      <c r="G104" s="43" cm="1">
        <f t="array" ref="G104">SUM(G99:G103)</f>
        <v>0</v>
      </c>
      <c r="H104" s="43" cm="1">
        <f t="array" ref="H104">SUM(H99:H103)</f>
        <v>0</v>
      </c>
      <c r="I104" s="43" cm="1">
        <f t="array" ref="I104">SUM(I99:I103)</f>
        <v>0</v>
      </c>
      <c r="J104" s="43" cm="1">
        <f t="array" ref="J104">SUM(J99:J103)</f>
        <v>0</v>
      </c>
      <c r="K104" s="43" cm="1">
        <f t="array" ref="K104">SUM(K99:K103)</f>
        <v>0</v>
      </c>
      <c r="L104" s="43" cm="1">
        <f t="array" ref="L104">SUM(L99:L103)</f>
        <v>0</v>
      </c>
      <c r="M104" s="43" cm="1">
        <f t="array" ref="M104">SUM(M99:M103)</f>
        <v>0</v>
      </c>
      <c r="N104" s="43" cm="1">
        <f t="array" ref="N104">SUM(N99:N103)</f>
        <v>0</v>
      </c>
      <c r="O104" s="43" cm="1">
        <f t="array" ref="O104">SUM(O99:O103)</f>
        <v>0</v>
      </c>
      <c r="P104" s="46"/>
      <c r="Q104" s="43" cm="1">
        <f t="array" ref="Q104">SUM(Q99:Q103)</f>
        <v>0</v>
      </c>
      <c r="R104" s="47"/>
      <c r="S104" s="18"/>
      <c r="T104" s="18"/>
      <c r="U104" s="18"/>
      <c r="V104" s="18"/>
      <c r="W104" s="18"/>
      <c r="X104" s="18"/>
      <c r="Y104" s="19"/>
    </row>
    <row r="105" ht="20" customHeight="1">
      <c r="A105" s="27"/>
      <c r="B105" s="97"/>
      <c r="C105" s="74"/>
      <c r="D105" s="97"/>
      <c r="E105" s="97"/>
      <c r="F105" s="97"/>
      <c r="G105" s="97"/>
      <c r="H105" s="97"/>
      <c r="I105" s="97"/>
      <c r="J105" s="97"/>
      <c r="K105" s="97"/>
      <c r="L105" s="97"/>
      <c r="M105" s="97"/>
      <c r="N105" s="97"/>
      <c r="O105" s="97"/>
      <c r="P105" s="18"/>
      <c r="Q105" s="97"/>
      <c r="R105" s="18"/>
      <c r="S105" s="18"/>
      <c r="T105" s="18"/>
      <c r="U105" s="18"/>
      <c r="V105" s="18"/>
      <c r="W105" s="18"/>
      <c r="X105" s="18"/>
      <c r="Y105" s="19"/>
    </row>
    <row r="106" ht="20" customHeight="1">
      <c r="A106" s="40"/>
      <c r="B106" t="s" s="92">
        <v>93</v>
      </c>
      <c r="C106" t="s" s="67">
        <v>11</v>
      </c>
      <c r="D106" t="s" s="67">
        <v>12</v>
      </c>
      <c r="E106" t="s" s="67">
        <v>13</v>
      </c>
      <c r="F106" t="s" s="67">
        <v>14</v>
      </c>
      <c r="G106" t="s" s="67">
        <v>15</v>
      </c>
      <c r="H106" t="s" s="67">
        <v>16</v>
      </c>
      <c r="I106" t="s" s="67">
        <v>17</v>
      </c>
      <c r="J106" t="s" s="67">
        <v>18</v>
      </c>
      <c r="K106" t="s" s="67">
        <v>19</v>
      </c>
      <c r="L106" t="s" s="67">
        <v>20</v>
      </c>
      <c r="M106" t="s" s="67">
        <v>21</v>
      </c>
      <c r="N106" t="s" s="67">
        <v>22</v>
      </c>
      <c r="O106" t="s" s="67">
        <v>23</v>
      </c>
      <c r="P106" s="46"/>
      <c r="Q106" t="s" s="67">
        <v>24</v>
      </c>
      <c r="R106" s="47"/>
      <c r="S106" s="18"/>
      <c r="T106" s="18"/>
      <c r="U106" s="18"/>
      <c r="V106" s="18"/>
      <c r="W106" s="18"/>
      <c r="X106" s="18"/>
      <c r="Y106" s="19"/>
    </row>
    <row r="107" ht="20" customHeight="1">
      <c r="A107" s="40"/>
      <c r="B107" t="s" s="68">
        <v>94</v>
      </c>
      <c r="C107" s="79"/>
      <c r="D107" s="70">
        <v>0</v>
      </c>
      <c r="E107" s="70">
        <v>0</v>
      </c>
      <c r="F107" s="70">
        <v>0</v>
      </c>
      <c r="G107" s="70">
        <v>0</v>
      </c>
      <c r="H107" s="70">
        <v>0</v>
      </c>
      <c r="I107" s="70">
        <v>0</v>
      </c>
      <c r="J107" s="70">
        <v>0</v>
      </c>
      <c r="K107" s="70">
        <v>0</v>
      </c>
      <c r="L107" s="70">
        <v>0</v>
      </c>
      <c r="M107" s="70">
        <v>0</v>
      </c>
      <c r="N107" s="70">
        <v>0</v>
      </c>
      <c r="O107" s="70">
        <v>0</v>
      </c>
      <c r="P107" s="46"/>
      <c r="Q107" s="70" cm="1">
        <f t="array" ref="Q107">SUM(D107:O107)</f>
        <v>0</v>
      </c>
      <c r="R107" s="47"/>
      <c r="S107" s="18"/>
      <c r="T107" s="18"/>
      <c r="U107" s="18"/>
      <c r="V107" s="18"/>
      <c r="W107" s="18"/>
      <c r="X107" s="18"/>
      <c r="Y107" s="19"/>
    </row>
    <row r="108" ht="20" customHeight="1">
      <c r="A108" s="40"/>
      <c r="B108" t="s" s="68">
        <v>95</v>
      </c>
      <c r="C108" s="79"/>
      <c r="D108" s="70">
        <v>0</v>
      </c>
      <c r="E108" s="70">
        <v>0</v>
      </c>
      <c r="F108" s="70">
        <v>0</v>
      </c>
      <c r="G108" s="70">
        <v>0</v>
      </c>
      <c r="H108" s="70">
        <v>0</v>
      </c>
      <c r="I108" s="70">
        <v>0</v>
      </c>
      <c r="J108" s="70">
        <v>0</v>
      </c>
      <c r="K108" s="70">
        <v>0</v>
      </c>
      <c r="L108" s="70">
        <v>0</v>
      </c>
      <c r="M108" s="70">
        <v>0</v>
      </c>
      <c r="N108" s="70">
        <v>0</v>
      </c>
      <c r="O108" s="70">
        <v>0</v>
      </c>
      <c r="P108" s="46"/>
      <c r="Q108" s="70" cm="1">
        <f t="array" ref="Q108">SUM(D108:O108)</f>
        <v>0</v>
      </c>
      <c r="R108" s="47"/>
      <c r="S108" s="18"/>
      <c r="T108" s="18"/>
      <c r="U108" s="18"/>
      <c r="V108" s="18"/>
      <c r="W108" s="18"/>
      <c r="X108" s="18"/>
      <c r="Y108" s="19"/>
    </row>
    <row r="109" ht="20" customHeight="1">
      <c r="A109" s="40"/>
      <c r="B109" t="s" s="68">
        <v>96</v>
      </c>
      <c r="C109" s="79"/>
      <c r="D109" s="70">
        <v>0</v>
      </c>
      <c r="E109" s="70">
        <v>0</v>
      </c>
      <c r="F109" s="70">
        <v>0</v>
      </c>
      <c r="G109" s="70">
        <v>0</v>
      </c>
      <c r="H109" s="70">
        <v>0</v>
      </c>
      <c r="I109" s="70">
        <v>0</v>
      </c>
      <c r="J109" s="70">
        <v>0</v>
      </c>
      <c r="K109" s="70">
        <v>0</v>
      </c>
      <c r="L109" s="70">
        <v>0</v>
      </c>
      <c r="M109" s="70">
        <v>0</v>
      </c>
      <c r="N109" s="70">
        <v>0</v>
      </c>
      <c r="O109" s="70">
        <v>0</v>
      </c>
      <c r="P109" s="46"/>
      <c r="Q109" s="70" cm="1">
        <f t="array" ref="Q109">SUM(D109:O109)</f>
        <v>0</v>
      </c>
      <c r="R109" s="47"/>
      <c r="S109" s="18"/>
      <c r="T109" s="18"/>
      <c r="U109" s="18"/>
      <c r="V109" s="18"/>
      <c r="W109" s="18"/>
      <c r="X109" s="18"/>
      <c r="Y109" s="19"/>
    </row>
    <row r="110" ht="20" customHeight="1">
      <c r="A110" s="40"/>
      <c r="B110" t="s" s="68">
        <v>97</v>
      </c>
      <c r="C110" s="79"/>
      <c r="D110" s="70">
        <v>0</v>
      </c>
      <c r="E110" s="70">
        <v>0</v>
      </c>
      <c r="F110" s="70">
        <v>0</v>
      </c>
      <c r="G110" s="70">
        <v>0</v>
      </c>
      <c r="H110" s="70">
        <v>0</v>
      </c>
      <c r="I110" s="70">
        <v>0</v>
      </c>
      <c r="J110" s="70">
        <v>0</v>
      </c>
      <c r="K110" s="70">
        <v>0</v>
      </c>
      <c r="L110" s="70">
        <v>0</v>
      </c>
      <c r="M110" s="70">
        <v>0</v>
      </c>
      <c r="N110" s="70">
        <v>0</v>
      </c>
      <c r="O110" s="70">
        <v>0</v>
      </c>
      <c r="P110" s="46"/>
      <c r="Q110" s="70" cm="1">
        <f t="array" ref="Q110">SUM(D110:O110)</f>
        <v>0</v>
      </c>
      <c r="R110" s="47"/>
      <c r="S110" s="18"/>
      <c r="T110" s="18"/>
      <c r="U110" s="18"/>
      <c r="V110" s="18"/>
      <c r="W110" s="18"/>
      <c r="X110" s="18"/>
      <c r="Y110" s="19"/>
    </row>
    <row r="111" ht="20" customHeight="1">
      <c r="A111" s="40"/>
      <c r="B111" t="s" s="72">
        <v>98</v>
      </c>
      <c r="C111" s="42"/>
      <c r="D111" s="43" cm="1">
        <f t="array" ref="D111">SUM(D107:D110)</f>
        <v>0</v>
      </c>
      <c r="E111" s="43" cm="1">
        <f t="array" ref="E111">SUM(E107:E110)</f>
        <v>0</v>
      </c>
      <c r="F111" s="43" cm="1">
        <f t="array" ref="F111">SUM(F107:F110)</f>
        <v>0</v>
      </c>
      <c r="G111" s="43" cm="1">
        <f t="array" ref="G111">SUM(G107:G110)</f>
        <v>0</v>
      </c>
      <c r="H111" s="43" cm="1">
        <f t="array" ref="H111">SUM(H107:H110)</f>
        <v>0</v>
      </c>
      <c r="I111" s="43" cm="1">
        <f t="array" ref="I111">SUM(I107:I110)</f>
        <v>0</v>
      </c>
      <c r="J111" s="43" cm="1">
        <f t="array" ref="J111">SUM(J107:J110)</f>
        <v>0</v>
      </c>
      <c r="K111" s="43" cm="1">
        <f t="array" ref="K111">SUM(K107:K110)</f>
        <v>0</v>
      </c>
      <c r="L111" s="43" cm="1">
        <f t="array" ref="L111">SUM(L107:L110)</f>
        <v>0</v>
      </c>
      <c r="M111" s="43" cm="1">
        <f t="array" ref="M111">SUM(M107:M110)</f>
        <v>0</v>
      </c>
      <c r="N111" s="43" cm="1">
        <f t="array" ref="N111">SUM(N107:N110)</f>
        <v>0</v>
      </c>
      <c r="O111" s="43" cm="1">
        <f t="array" ref="O111">SUM(O107:O110)</f>
        <v>0</v>
      </c>
      <c r="P111" s="46"/>
      <c r="Q111" s="43" cm="1">
        <f t="array" ref="Q111">SUM(Q107:Q110)</f>
        <v>0</v>
      </c>
      <c r="R111" s="47"/>
      <c r="S111" s="18"/>
      <c r="T111" s="18"/>
      <c r="U111" s="18"/>
      <c r="V111" s="18"/>
      <c r="W111" s="18"/>
      <c r="X111" s="18"/>
      <c r="Y111" s="19"/>
    </row>
    <row r="112" ht="20" customHeight="1">
      <c r="A112" s="27"/>
      <c r="B112" s="97"/>
      <c r="C112" s="74"/>
      <c r="D112" s="97"/>
      <c r="E112" s="97"/>
      <c r="F112" s="97"/>
      <c r="G112" s="97"/>
      <c r="H112" s="97"/>
      <c r="I112" s="97"/>
      <c r="J112" s="97"/>
      <c r="K112" s="97"/>
      <c r="L112" s="97"/>
      <c r="M112" s="97"/>
      <c r="N112" s="97"/>
      <c r="O112" s="97"/>
      <c r="P112" s="18"/>
      <c r="Q112" s="97"/>
      <c r="R112" s="18"/>
      <c r="S112" s="18"/>
      <c r="T112" s="18"/>
      <c r="U112" s="18"/>
      <c r="V112" s="18"/>
      <c r="W112" s="18"/>
      <c r="X112" s="18"/>
      <c r="Y112" s="19"/>
    </row>
    <row r="113" ht="20" customHeight="1">
      <c r="A113" s="40"/>
      <c r="B113" t="s" s="41">
        <v>26</v>
      </c>
      <c r="C113" s="42"/>
      <c r="D113" s="43" cm="1">
        <f t="array" ref="D113">SUM(D58,D66,D75,D96,D104)</f>
        <v>13441.7</v>
      </c>
      <c r="E113" s="43" cm="1">
        <f t="array" ref="E113">SUM(E58,E66,E75,E96,E104)</f>
        <v>9888.9</v>
      </c>
      <c r="F113" s="43" cm="1">
        <f t="array" ref="F113">SUM(F58,F66,F75,F96,F104)</f>
        <v>16814.8</v>
      </c>
      <c r="G113" s="43" cm="1">
        <f t="array" ref="G113">SUM(G58,G66,G75,G96,G104)</f>
        <v>18128.1</v>
      </c>
      <c r="H113" s="43" cm="1">
        <f t="array" ref="H113">SUM(H58,H66,H75,H96,H104)</f>
        <v>13110</v>
      </c>
      <c r="I113" s="43" cm="1">
        <f t="array" ref="I113">SUM(I58,I66,I75,I96,I104)</f>
        <v>20072.6</v>
      </c>
      <c r="J113" s="43" cm="1">
        <f t="array" ref="J113">SUM(J58,J66,J75,J96,J104)</f>
        <v>0</v>
      </c>
      <c r="K113" s="43" cm="1">
        <f t="array" ref="K113">SUM(K58,K66,K75,K96,K104)</f>
        <v>0</v>
      </c>
      <c r="L113" s="43" cm="1">
        <f t="array" ref="L113">SUM(L58,L66,L75,L96,L104)</f>
        <v>0</v>
      </c>
      <c r="M113" s="43" cm="1">
        <f t="array" ref="M113">SUM(M58,M66,M75,M96,M104)</f>
        <v>0</v>
      </c>
      <c r="N113" s="43" cm="1">
        <f t="array" ref="N113">SUM(N58,N66,N75,N96,N104)</f>
        <v>0</v>
      </c>
      <c r="O113" s="43" cm="1">
        <f t="array" ref="O113">SUM(O58,O66,O75,O96,O104)</f>
        <v>0</v>
      </c>
      <c r="P113" s="99"/>
      <c r="Q113" s="43" cm="1">
        <f t="array" ref="Q113">SUM(Q58,Q66,Q75,Q96,Q104,Q111)</f>
        <v>91456.100000000006</v>
      </c>
      <c r="R113" s="47"/>
      <c r="S113" s="18"/>
      <c r="T113" s="18"/>
      <c r="U113" s="18"/>
      <c r="V113" s="18"/>
      <c r="W113" s="18"/>
      <c r="X113" s="18"/>
      <c r="Y113" s="19"/>
    </row>
    <row r="114" ht="20" customHeight="1">
      <c r="A114" s="27"/>
      <c r="B114" s="100"/>
      <c r="C114" s="101"/>
      <c r="D114" s="102"/>
      <c r="E114" s="102"/>
      <c r="F114" s="102"/>
      <c r="G114" s="102"/>
      <c r="H114" s="102"/>
      <c r="I114" s="102"/>
      <c r="J114" s="102"/>
      <c r="K114" s="102"/>
      <c r="L114" s="102"/>
      <c r="M114" s="102"/>
      <c r="N114" s="102"/>
      <c r="O114" s="102"/>
      <c r="P114" s="18"/>
      <c r="Q114" s="102"/>
      <c r="R114" s="18"/>
      <c r="S114" s="18"/>
      <c r="T114" s="18"/>
      <c r="U114" s="18"/>
      <c r="V114" s="18"/>
      <c r="W114" s="18"/>
      <c r="X114" s="18"/>
      <c r="Y114" s="19"/>
    </row>
    <row r="115" ht="15" customHeight="1">
      <c r="A115" s="27"/>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9"/>
    </row>
    <row r="116" ht="15" customHeight="1">
      <c r="A116" s="27"/>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9"/>
    </row>
    <row r="117" ht="15" customHeight="1">
      <c r="A117" s="27"/>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9"/>
    </row>
    <row r="118" ht="15" customHeight="1">
      <c r="A118" s="27"/>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9"/>
    </row>
    <row r="119" ht="15" customHeight="1">
      <c r="A119" s="27"/>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9"/>
    </row>
    <row r="120" ht="15" customHeight="1">
      <c r="A120" s="27"/>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9"/>
    </row>
    <row r="121" ht="15" customHeight="1">
      <c r="A121" s="27"/>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9"/>
    </row>
    <row r="122" ht="15" customHeight="1">
      <c r="A122" s="27"/>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9"/>
    </row>
    <row r="123" ht="15" customHeight="1">
      <c r="A123" s="27"/>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9"/>
    </row>
    <row r="124" ht="15" customHeight="1">
      <c r="A124" s="27"/>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9"/>
    </row>
    <row r="125" ht="15" customHeight="1">
      <c r="A125" s="27"/>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9"/>
    </row>
    <row r="126" ht="15" customHeight="1">
      <c r="A126" s="27"/>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9"/>
    </row>
    <row r="127" ht="15" customHeight="1">
      <c r="A127" s="27"/>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9"/>
    </row>
    <row r="128" ht="15" customHeight="1">
      <c r="A128" s="27"/>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9"/>
    </row>
    <row r="129" ht="15" customHeight="1">
      <c r="A129" s="27"/>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9"/>
    </row>
    <row r="130" ht="15" customHeight="1">
      <c r="A130" s="27"/>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9"/>
    </row>
    <row r="131" ht="15" customHeight="1">
      <c r="A131" s="27"/>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9"/>
    </row>
    <row r="132" ht="15" customHeight="1">
      <c r="A132" s="27"/>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9"/>
    </row>
    <row r="133" ht="15" customHeight="1">
      <c r="A133" s="27"/>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9"/>
    </row>
    <row r="134" ht="15" customHeight="1">
      <c r="A134" s="27"/>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9"/>
    </row>
    <row r="135" ht="15" customHeight="1">
      <c r="A135" s="27"/>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9"/>
    </row>
    <row r="136" ht="15" customHeight="1">
      <c r="A136" s="27"/>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9"/>
    </row>
    <row r="137" ht="15" customHeight="1">
      <c r="A137" s="27"/>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9"/>
    </row>
    <row r="138" ht="15" customHeight="1">
      <c r="A138" s="27"/>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9"/>
    </row>
    <row r="139" ht="15" customHeight="1">
      <c r="A139" s="27"/>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9"/>
    </row>
    <row r="140" ht="15" customHeight="1">
      <c r="A140" s="27"/>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9"/>
    </row>
    <row r="141" ht="15" customHeight="1">
      <c r="A141" s="27"/>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9"/>
    </row>
    <row r="142" ht="15" customHeight="1">
      <c r="A142" s="27"/>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9"/>
    </row>
    <row r="143" ht="15" customHeight="1">
      <c r="A143" s="27"/>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9"/>
    </row>
    <row r="144" ht="15" customHeight="1">
      <c r="A144" s="27"/>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9"/>
    </row>
    <row r="145" ht="15" customHeight="1">
      <c r="A145" s="27"/>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9"/>
    </row>
    <row r="146" ht="15" customHeight="1">
      <c r="A146" s="27"/>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9"/>
    </row>
    <row r="147" ht="15" customHeight="1">
      <c r="A147" s="27"/>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9"/>
    </row>
    <row r="148" ht="15" customHeight="1">
      <c r="A148" s="27"/>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9"/>
    </row>
    <row r="149" ht="15" customHeight="1">
      <c r="A149" s="27"/>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9"/>
    </row>
    <row r="150" ht="15" customHeight="1">
      <c r="A150" s="27"/>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9"/>
    </row>
    <row r="151" ht="15" customHeight="1">
      <c r="A151" s="27"/>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9"/>
    </row>
    <row r="152" ht="15" customHeight="1">
      <c r="A152" s="27"/>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9"/>
    </row>
    <row r="153" ht="15" customHeight="1">
      <c r="A153" s="27"/>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9"/>
    </row>
    <row r="154" ht="15" customHeight="1">
      <c r="A154" s="27"/>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9"/>
    </row>
    <row r="155" ht="15" customHeight="1">
      <c r="A155" s="27"/>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9"/>
    </row>
    <row r="156" ht="15" customHeight="1">
      <c r="A156" s="27"/>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9"/>
    </row>
    <row r="157" ht="15" customHeight="1">
      <c r="A157" s="27"/>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9"/>
    </row>
    <row r="158" ht="15" customHeight="1">
      <c r="A158" s="27"/>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9"/>
    </row>
    <row r="159" ht="15" customHeight="1">
      <c r="A159" s="27"/>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9"/>
    </row>
    <row r="160" ht="15" customHeight="1">
      <c r="A160" s="27"/>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9"/>
    </row>
    <row r="161" ht="15" customHeight="1">
      <c r="A161" s="27"/>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9"/>
    </row>
    <row r="162" ht="15" customHeight="1">
      <c r="A162" s="27"/>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9"/>
    </row>
    <row r="163" ht="15" customHeight="1">
      <c r="A163" s="27"/>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9"/>
    </row>
    <row r="164" ht="15" customHeight="1">
      <c r="A164" s="27"/>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9"/>
    </row>
    <row r="165" ht="15" customHeight="1">
      <c r="A165" s="27"/>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9"/>
    </row>
    <row r="166" ht="15" customHeight="1">
      <c r="A166" s="27"/>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9"/>
    </row>
    <row r="167" ht="15" customHeight="1">
      <c r="A167" s="27"/>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9"/>
    </row>
    <row r="168" ht="15" customHeight="1">
      <c r="A168" s="27"/>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9"/>
    </row>
    <row r="169" ht="15" customHeight="1">
      <c r="A169" s="27"/>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9"/>
    </row>
    <row r="170" ht="15" customHeight="1">
      <c r="A170" s="27"/>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9"/>
    </row>
    <row r="171" ht="15" customHeight="1">
      <c r="A171" s="27"/>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9"/>
    </row>
    <row r="172" ht="15" customHeight="1">
      <c r="A172" s="27"/>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9"/>
    </row>
    <row r="173" ht="15" customHeight="1">
      <c r="A173" s="27"/>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9"/>
    </row>
    <row r="174" ht="15" customHeight="1">
      <c r="A174" s="27"/>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9"/>
    </row>
    <row r="175" ht="15" customHeight="1">
      <c r="A175" s="27"/>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9"/>
    </row>
    <row r="176" ht="15" customHeight="1">
      <c r="A176" s="27"/>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9"/>
    </row>
    <row r="177" ht="15" customHeight="1">
      <c r="A177" s="27"/>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9"/>
    </row>
    <row r="178" ht="15" customHeight="1">
      <c r="A178" s="27"/>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9"/>
    </row>
    <row r="179" ht="15" customHeight="1">
      <c r="A179" s="27"/>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9"/>
    </row>
    <row r="180" ht="15" customHeight="1">
      <c r="A180" s="27"/>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9"/>
    </row>
    <row r="181" ht="15" customHeight="1">
      <c r="A181" s="27"/>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9"/>
    </row>
    <row r="182" ht="15" customHeight="1">
      <c r="A182" s="27"/>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9"/>
    </row>
    <row r="183" ht="15" customHeight="1">
      <c r="A183" s="27"/>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9"/>
    </row>
    <row r="184" ht="15" customHeight="1">
      <c r="A184" s="27"/>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9"/>
    </row>
    <row r="185" ht="15" customHeight="1">
      <c r="A185" s="27"/>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9"/>
    </row>
    <row r="186" ht="15" customHeight="1">
      <c r="A186" s="27"/>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9"/>
    </row>
    <row r="187" ht="15" customHeight="1">
      <c r="A187" s="27"/>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9"/>
    </row>
    <row r="188" ht="15" customHeight="1">
      <c r="A188" s="27"/>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9"/>
    </row>
    <row r="189" ht="15" customHeight="1">
      <c r="A189" s="27"/>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9"/>
    </row>
    <row r="190" ht="15" customHeight="1">
      <c r="A190" s="27"/>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9"/>
    </row>
    <row r="191" ht="15" customHeight="1">
      <c r="A191" s="27"/>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9"/>
    </row>
    <row r="192" ht="15" customHeight="1">
      <c r="A192" s="27"/>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9"/>
    </row>
    <row r="193" ht="15" customHeight="1">
      <c r="A193" s="27"/>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9"/>
    </row>
    <row r="194" ht="15" customHeight="1">
      <c r="A194" s="27"/>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9"/>
    </row>
    <row r="195" ht="15" customHeight="1">
      <c r="A195" s="27"/>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9"/>
    </row>
    <row r="196" ht="15" customHeight="1">
      <c r="A196" s="27"/>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9"/>
    </row>
    <row r="197" ht="15" customHeight="1">
      <c r="A197" s="27"/>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9"/>
    </row>
    <row r="198" ht="15" customHeight="1">
      <c r="A198" s="27"/>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9"/>
    </row>
    <row r="199" ht="15" customHeight="1">
      <c r="A199" s="27"/>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9"/>
    </row>
    <row r="200" ht="15" customHeight="1">
      <c r="A200" s="27"/>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9"/>
    </row>
    <row r="201" ht="15" customHeight="1">
      <c r="A201" s="27"/>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9"/>
    </row>
    <row r="202" ht="15" customHeight="1">
      <c r="A202" s="27"/>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9"/>
    </row>
    <row r="203" ht="15" customHeight="1">
      <c r="A203" s="27"/>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9"/>
    </row>
    <row r="204" ht="15" customHeight="1">
      <c r="A204" s="27"/>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9"/>
    </row>
    <row r="205" ht="15" customHeight="1">
      <c r="A205" s="27"/>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9"/>
    </row>
    <row r="206" ht="15" customHeight="1">
      <c r="A206" s="27"/>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9"/>
    </row>
    <row r="207" ht="15" customHeight="1">
      <c r="A207" s="27"/>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9"/>
    </row>
    <row r="208" ht="15" customHeight="1">
      <c r="A208" s="27"/>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9"/>
    </row>
    <row r="209" ht="15" customHeight="1">
      <c r="A209" s="27"/>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9"/>
    </row>
    <row r="210" ht="15" customHeight="1">
      <c r="A210" s="27"/>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9"/>
    </row>
    <row r="211" ht="15" customHeight="1">
      <c r="A211" s="27"/>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9"/>
    </row>
    <row r="212" ht="15" customHeight="1">
      <c r="A212" s="27"/>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9"/>
    </row>
    <row r="213" ht="15" customHeight="1">
      <c r="A213" s="27"/>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9"/>
    </row>
    <row r="214" ht="15" customHeight="1">
      <c r="A214" s="27"/>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9"/>
    </row>
    <row r="215" ht="15" customHeight="1">
      <c r="A215" s="27"/>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9"/>
    </row>
    <row r="216" ht="15" customHeight="1">
      <c r="A216" s="27"/>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9"/>
    </row>
    <row r="217" ht="15" customHeight="1">
      <c r="A217" s="27"/>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9"/>
    </row>
    <row r="218" ht="15" customHeight="1">
      <c r="A218" s="27"/>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9"/>
    </row>
    <row r="219" ht="15" customHeight="1">
      <c r="A219" s="27"/>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9"/>
    </row>
    <row r="220" ht="15" customHeight="1">
      <c r="A220" s="27"/>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9"/>
    </row>
    <row r="221" ht="15" customHeight="1">
      <c r="A221" s="27"/>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9"/>
    </row>
    <row r="222" ht="15" customHeight="1">
      <c r="A222" s="27"/>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9"/>
    </row>
    <row r="223" ht="15" customHeight="1">
      <c r="A223" s="27"/>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9"/>
    </row>
    <row r="224" ht="15" customHeight="1">
      <c r="A224" s="27"/>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9"/>
    </row>
    <row r="225" ht="15" customHeight="1">
      <c r="A225" s="27"/>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9"/>
    </row>
    <row r="226" ht="15" customHeight="1">
      <c r="A226" s="27"/>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9"/>
    </row>
    <row r="227" ht="15" customHeight="1">
      <c r="A227" s="27"/>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9"/>
    </row>
    <row r="228" ht="15" customHeight="1">
      <c r="A228" s="27"/>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9"/>
    </row>
    <row r="229" ht="15" customHeight="1">
      <c r="A229" s="27"/>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9"/>
    </row>
    <row r="230" ht="15" customHeight="1">
      <c r="A230" s="27"/>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9"/>
    </row>
    <row r="231" ht="15" customHeight="1">
      <c r="A231" s="27"/>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9"/>
    </row>
    <row r="232" ht="15" customHeight="1">
      <c r="A232" s="27"/>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9"/>
    </row>
    <row r="233" ht="15" customHeight="1">
      <c r="A233" s="27"/>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9"/>
    </row>
    <row r="234" ht="15" customHeight="1">
      <c r="A234" s="27"/>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9"/>
    </row>
    <row r="235" ht="15" customHeight="1">
      <c r="A235" s="27"/>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9"/>
    </row>
    <row r="236" ht="15" customHeight="1">
      <c r="A236" s="27"/>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9"/>
    </row>
    <row r="237" ht="15" customHeight="1">
      <c r="A237" s="27"/>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9"/>
    </row>
    <row r="238" ht="15" customHeight="1">
      <c r="A238" s="27"/>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9"/>
    </row>
    <row r="239" ht="15" customHeight="1">
      <c r="A239" s="27"/>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9"/>
    </row>
    <row r="240" ht="15" customHeight="1">
      <c r="A240" s="27"/>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9"/>
    </row>
    <row r="241" ht="15" customHeight="1">
      <c r="A241" s="27"/>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9"/>
    </row>
    <row r="242" ht="15" customHeight="1">
      <c r="A242" s="27"/>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9"/>
    </row>
    <row r="243" ht="15" customHeight="1">
      <c r="A243" s="27"/>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9"/>
    </row>
    <row r="244" ht="15" customHeight="1">
      <c r="A244" s="27"/>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9"/>
    </row>
    <row r="245" ht="15" customHeight="1">
      <c r="A245" s="27"/>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9"/>
    </row>
    <row r="246" ht="15" customHeight="1">
      <c r="A246" s="27"/>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9"/>
    </row>
    <row r="247" ht="15" customHeight="1">
      <c r="A247" s="27"/>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9"/>
    </row>
    <row r="248" ht="15" customHeight="1">
      <c r="A248" s="27"/>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9"/>
    </row>
    <row r="249" ht="15" customHeight="1">
      <c r="A249" s="27"/>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9"/>
    </row>
    <row r="250" ht="15" customHeight="1">
      <c r="A250" s="27"/>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9"/>
    </row>
    <row r="251" ht="15" customHeight="1">
      <c r="A251" s="27"/>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9"/>
    </row>
    <row r="252" ht="15" customHeight="1">
      <c r="A252" s="27"/>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9"/>
    </row>
    <row r="253" ht="15" customHeight="1">
      <c r="A253" s="27"/>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9"/>
    </row>
    <row r="254" ht="15" customHeight="1">
      <c r="A254" s="27"/>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9"/>
    </row>
    <row r="255" ht="15" customHeight="1">
      <c r="A255" s="27"/>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9"/>
    </row>
    <row r="256" ht="15" customHeight="1">
      <c r="A256" s="27"/>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9"/>
    </row>
    <row r="257" ht="15" customHeight="1">
      <c r="A257" s="27"/>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9"/>
    </row>
    <row r="258" ht="15" customHeight="1">
      <c r="A258" s="27"/>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9"/>
    </row>
    <row r="259" ht="15" customHeight="1">
      <c r="A259" s="27"/>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9"/>
    </row>
    <row r="260" ht="15" customHeight="1">
      <c r="A260" s="27"/>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9"/>
    </row>
    <row r="261" ht="15" customHeight="1">
      <c r="A261" s="27"/>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9"/>
    </row>
    <row r="262" ht="15" customHeight="1">
      <c r="A262" s="27"/>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9"/>
    </row>
    <row r="263" ht="15" customHeight="1">
      <c r="A263" s="27"/>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9"/>
    </row>
    <row r="264" ht="15" customHeight="1">
      <c r="A264" s="27"/>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9"/>
    </row>
    <row r="265" ht="15" customHeight="1">
      <c r="A265" s="27"/>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9"/>
    </row>
    <row r="266" ht="15" customHeight="1">
      <c r="A266" s="27"/>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9"/>
    </row>
    <row r="267" ht="15" customHeight="1">
      <c r="A267" s="27"/>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9"/>
    </row>
    <row r="268" ht="15" customHeight="1">
      <c r="A268" s="27"/>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9"/>
    </row>
    <row r="269" ht="15" customHeight="1">
      <c r="A269" s="27"/>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9"/>
    </row>
    <row r="270" ht="15" customHeight="1">
      <c r="A270" s="27"/>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9"/>
    </row>
    <row r="271" ht="15" customHeight="1">
      <c r="A271" s="27"/>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9"/>
    </row>
    <row r="272" ht="15" customHeight="1">
      <c r="A272" s="27"/>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9"/>
    </row>
    <row r="273" ht="15" customHeight="1">
      <c r="A273" s="27"/>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9"/>
    </row>
    <row r="274" ht="15" customHeight="1">
      <c r="A274" s="27"/>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9"/>
    </row>
    <row r="275" ht="15" customHeight="1">
      <c r="A275" s="27"/>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9"/>
    </row>
    <row r="276" ht="15" customHeight="1">
      <c r="A276" s="27"/>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9"/>
    </row>
    <row r="277" ht="15" customHeight="1">
      <c r="A277" s="27"/>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9"/>
    </row>
    <row r="278" ht="15" customHeight="1">
      <c r="A278" s="27"/>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9"/>
    </row>
    <row r="279" ht="15" customHeight="1">
      <c r="A279" s="27"/>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9"/>
    </row>
    <row r="280" ht="15" customHeight="1">
      <c r="A280" s="27"/>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9"/>
    </row>
    <row r="281" ht="15" customHeight="1">
      <c r="A281" s="27"/>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9"/>
    </row>
    <row r="282" ht="15" customHeight="1">
      <c r="A282" s="27"/>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9"/>
    </row>
    <row r="283" ht="15" customHeight="1">
      <c r="A283" s="27"/>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9"/>
    </row>
    <row r="284" ht="15" customHeight="1">
      <c r="A284" s="27"/>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9"/>
    </row>
    <row r="285" ht="15" customHeight="1">
      <c r="A285" s="27"/>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9"/>
    </row>
    <row r="286" ht="15" customHeight="1">
      <c r="A286" s="27"/>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9"/>
    </row>
    <row r="287" ht="15" customHeight="1">
      <c r="A287" s="27"/>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9"/>
    </row>
    <row r="288" ht="15" customHeight="1">
      <c r="A288" s="27"/>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9"/>
    </row>
    <row r="289" ht="15" customHeight="1">
      <c r="A289" s="27"/>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9"/>
    </row>
    <row r="290" ht="15" customHeight="1">
      <c r="A290" s="27"/>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9"/>
    </row>
    <row r="291" ht="15" customHeight="1">
      <c r="A291" s="27"/>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9"/>
    </row>
    <row r="292" ht="15" customHeight="1">
      <c r="A292" s="27"/>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9"/>
    </row>
    <row r="293" ht="15" customHeight="1">
      <c r="A293" s="27"/>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9"/>
    </row>
    <row r="294" ht="15" customHeight="1">
      <c r="A294" s="27"/>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9"/>
    </row>
    <row r="295" ht="15" customHeight="1">
      <c r="A295" s="27"/>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9"/>
    </row>
    <row r="296" ht="15" customHeight="1">
      <c r="A296" s="27"/>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9"/>
    </row>
    <row r="297" ht="15" customHeight="1">
      <c r="A297" s="27"/>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9"/>
    </row>
    <row r="298" ht="15" customHeight="1">
      <c r="A298" s="27"/>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9"/>
    </row>
    <row r="299" ht="15" customHeight="1">
      <c r="A299" s="27"/>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9"/>
    </row>
    <row r="300" ht="15" customHeight="1">
      <c r="A300" s="27"/>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9"/>
    </row>
    <row r="301" ht="15" customHeight="1">
      <c r="A301" s="27"/>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9"/>
    </row>
    <row r="302" ht="15" customHeight="1">
      <c r="A302" s="27"/>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9"/>
    </row>
    <row r="303" ht="15" customHeight="1">
      <c r="A303" s="27"/>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9"/>
    </row>
    <row r="304" ht="15" customHeight="1">
      <c r="A304" s="27"/>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9"/>
    </row>
    <row r="305" ht="15" customHeight="1">
      <c r="A305" s="27"/>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9"/>
    </row>
    <row r="306" ht="15" customHeight="1">
      <c r="A306" s="27"/>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9"/>
    </row>
    <row r="307" ht="15" customHeight="1">
      <c r="A307" s="27"/>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9"/>
    </row>
    <row r="308" ht="15" customHeight="1">
      <c r="A308" s="27"/>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9"/>
    </row>
    <row r="309" ht="15" customHeight="1">
      <c r="A309" s="27"/>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9"/>
    </row>
    <row r="310" ht="15" customHeight="1">
      <c r="A310" s="27"/>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9"/>
    </row>
    <row r="311" ht="15" customHeight="1">
      <c r="A311" s="27"/>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9"/>
    </row>
    <row r="312" ht="15" customHeight="1">
      <c r="A312" s="27"/>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9"/>
    </row>
    <row r="313" ht="15" customHeight="1">
      <c r="A313" s="27"/>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9"/>
    </row>
    <row r="314" ht="15" customHeight="1">
      <c r="A314" s="27"/>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9"/>
    </row>
    <row r="315" ht="15" customHeight="1">
      <c r="A315" s="27"/>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9"/>
    </row>
    <row r="316" ht="15" customHeight="1">
      <c r="A316" s="27"/>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9"/>
    </row>
    <row r="317" ht="15" customHeight="1">
      <c r="A317" s="27"/>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9"/>
    </row>
    <row r="318" ht="15" customHeight="1">
      <c r="A318" s="27"/>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9"/>
    </row>
    <row r="319" ht="15" customHeight="1">
      <c r="A319" s="27"/>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9"/>
    </row>
    <row r="320" ht="15" customHeight="1">
      <c r="A320" s="27"/>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9"/>
    </row>
    <row r="321" ht="15" customHeight="1">
      <c r="A321" s="27"/>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9"/>
    </row>
    <row r="322" ht="15" customHeight="1">
      <c r="A322" s="27"/>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9"/>
    </row>
    <row r="323" ht="15" customHeight="1">
      <c r="A323" s="27"/>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9"/>
    </row>
    <row r="324" ht="15" customHeight="1">
      <c r="A324" s="27"/>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9"/>
    </row>
    <row r="325" ht="15" customHeight="1">
      <c r="A325" s="27"/>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9"/>
    </row>
    <row r="326" ht="15" customHeight="1">
      <c r="A326" s="27"/>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9"/>
    </row>
    <row r="327" ht="15" customHeight="1">
      <c r="A327" s="27"/>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9"/>
    </row>
    <row r="328" ht="15" customHeight="1">
      <c r="A328" s="27"/>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9"/>
    </row>
    <row r="329" ht="15" customHeight="1">
      <c r="A329" s="27"/>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9"/>
    </row>
    <row r="330" ht="15" customHeight="1">
      <c r="A330" s="27"/>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9"/>
    </row>
    <row r="331" ht="15" customHeight="1">
      <c r="A331" s="27"/>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9"/>
    </row>
    <row r="332" ht="15" customHeight="1">
      <c r="A332" s="27"/>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9"/>
    </row>
    <row r="333" ht="15" customHeight="1">
      <c r="A333" s="27"/>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9"/>
    </row>
    <row r="334" ht="15" customHeight="1">
      <c r="A334" s="27"/>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9"/>
    </row>
    <row r="335" ht="15" customHeight="1">
      <c r="A335" s="27"/>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9"/>
    </row>
    <row r="336" ht="15" customHeight="1">
      <c r="A336" s="27"/>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9"/>
    </row>
    <row r="337" ht="15" customHeight="1">
      <c r="A337" s="27"/>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9"/>
    </row>
    <row r="338" ht="15" customHeight="1">
      <c r="A338" s="27"/>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9"/>
    </row>
    <row r="339" ht="15" customHeight="1">
      <c r="A339" s="27"/>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9"/>
    </row>
    <row r="340" ht="15" customHeight="1">
      <c r="A340" s="27"/>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9"/>
    </row>
    <row r="341" ht="15" customHeight="1">
      <c r="A341" s="27"/>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9"/>
    </row>
    <row r="342" ht="15" customHeight="1">
      <c r="A342" s="27"/>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9"/>
    </row>
    <row r="343" ht="15" customHeight="1">
      <c r="A343" s="27"/>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9"/>
    </row>
    <row r="344" ht="15" customHeight="1">
      <c r="A344" s="27"/>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9"/>
    </row>
    <row r="345" ht="15" customHeight="1">
      <c r="A345" s="27"/>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9"/>
    </row>
    <row r="346" ht="15" customHeight="1">
      <c r="A346" s="27"/>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9"/>
    </row>
    <row r="347" ht="15" customHeight="1">
      <c r="A347" s="27"/>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9"/>
    </row>
    <row r="348" ht="15" customHeight="1">
      <c r="A348" s="27"/>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9"/>
    </row>
    <row r="349" ht="15" customHeight="1">
      <c r="A349" s="27"/>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9"/>
    </row>
    <row r="350" ht="15" customHeight="1">
      <c r="A350" s="27"/>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9"/>
    </row>
    <row r="351" ht="15" customHeight="1">
      <c r="A351" s="27"/>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9"/>
    </row>
    <row r="352" ht="15" customHeight="1">
      <c r="A352" s="27"/>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9"/>
    </row>
    <row r="353" ht="15" customHeight="1">
      <c r="A353" s="27"/>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9"/>
    </row>
    <row r="354" ht="15" customHeight="1">
      <c r="A354" s="27"/>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9"/>
    </row>
    <row r="355" ht="15" customHeight="1">
      <c r="A355" s="27"/>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9"/>
    </row>
    <row r="356" ht="15" customHeight="1">
      <c r="A356" s="27"/>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9"/>
    </row>
    <row r="357" ht="15" customHeight="1">
      <c r="A357" s="27"/>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9"/>
    </row>
    <row r="358" ht="15" customHeight="1">
      <c r="A358" s="27"/>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9"/>
    </row>
    <row r="359" ht="15" customHeight="1">
      <c r="A359" s="27"/>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9"/>
    </row>
    <row r="360" ht="15" customHeight="1">
      <c r="A360" s="27"/>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9"/>
    </row>
    <row r="361" ht="15" customHeight="1">
      <c r="A361" s="27"/>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9"/>
    </row>
    <row r="362" ht="15" customHeight="1">
      <c r="A362" s="27"/>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9"/>
    </row>
    <row r="363" ht="15" customHeight="1">
      <c r="A363" s="27"/>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9"/>
    </row>
    <row r="364" ht="15" customHeight="1">
      <c r="A364" s="27"/>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9"/>
    </row>
    <row r="365" ht="15" customHeight="1">
      <c r="A365" s="27"/>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9"/>
    </row>
    <row r="366" ht="15" customHeight="1">
      <c r="A366" s="27"/>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9"/>
    </row>
    <row r="367" ht="15" customHeight="1">
      <c r="A367" s="27"/>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9"/>
    </row>
    <row r="368" ht="15" customHeight="1">
      <c r="A368" s="27"/>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9"/>
    </row>
    <row r="369" ht="15" customHeight="1">
      <c r="A369" s="27"/>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9"/>
    </row>
    <row r="370" ht="15" customHeight="1">
      <c r="A370" s="27"/>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9"/>
    </row>
    <row r="371" ht="15" customHeight="1">
      <c r="A371" s="27"/>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9"/>
    </row>
    <row r="372" ht="15" customHeight="1">
      <c r="A372" s="27"/>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9"/>
    </row>
    <row r="373" ht="15" customHeight="1">
      <c r="A373" s="27"/>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9"/>
    </row>
    <row r="374" ht="15" customHeight="1">
      <c r="A374" s="27"/>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9"/>
    </row>
    <row r="375" ht="15" customHeight="1">
      <c r="A375" s="27"/>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9"/>
    </row>
    <row r="376" ht="15" customHeight="1">
      <c r="A376" s="27"/>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9"/>
    </row>
    <row r="377" ht="15" customHeight="1">
      <c r="A377" s="27"/>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9"/>
    </row>
    <row r="378" ht="15" customHeight="1">
      <c r="A378" s="27"/>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9"/>
    </row>
    <row r="379" ht="15" customHeight="1">
      <c r="A379" s="27"/>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9"/>
    </row>
    <row r="380" ht="15" customHeight="1">
      <c r="A380" s="27"/>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9"/>
    </row>
    <row r="381" ht="15" customHeight="1">
      <c r="A381" s="27"/>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9"/>
    </row>
    <row r="382" ht="15" customHeight="1">
      <c r="A382" s="27"/>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9"/>
    </row>
    <row r="383" ht="15" customHeight="1">
      <c r="A383" s="27"/>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9"/>
    </row>
    <row r="384" ht="15" customHeight="1">
      <c r="A384" s="27"/>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9"/>
    </row>
    <row r="385" ht="15" customHeight="1">
      <c r="A385" s="27"/>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9"/>
    </row>
    <row r="386" ht="15" customHeight="1">
      <c r="A386" s="27"/>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9"/>
    </row>
    <row r="387" ht="15" customHeight="1">
      <c r="A387" s="27"/>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9"/>
    </row>
    <row r="388" ht="15" customHeight="1">
      <c r="A388" s="27"/>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9"/>
    </row>
    <row r="389" ht="15" customHeight="1">
      <c r="A389" s="27"/>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9"/>
    </row>
    <row r="390" ht="15" customHeight="1">
      <c r="A390" s="27"/>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9"/>
    </row>
    <row r="391" ht="15" customHeight="1">
      <c r="A391" s="27"/>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9"/>
    </row>
    <row r="392" ht="15" customHeight="1">
      <c r="A392" s="27"/>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9"/>
    </row>
    <row r="393" ht="15" customHeight="1">
      <c r="A393" s="27"/>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9"/>
    </row>
    <row r="394" ht="15" customHeight="1">
      <c r="A394" s="27"/>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9"/>
    </row>
    <row r="395" ht="15" customHeight="1">
      <c r="A395" s="27"/>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9"/>
    </row>
    <row r="396" ht="15" customHeight="1">
      <c r="A396" s="27"/>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9"/>
    </row>
    <row r="397" ht="15" customHeight="1">
      <c r="A397" s="27"/>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9"/>
    </row>
    <row r="398" ht="15" customHeight="1">
      <c r="A398" s="27"/>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9"/>
    </row>
    <row r="399" ht="15" customHeight="1">
      <c r="A399" s="27"/>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9"/>
    </row>
    <row r="400" ht="15" customHeight="1">
      <c r="A400" s="27"/>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9"/>
    </row>
    <row r="401" ht="15" customHeight="1">
      <c r="A401" s="27"/>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9"/>
    </row>
    <row r="402" ht="15" customHeight="1">
      <c r="A402" s="27"/>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9"/>
    </row>
    <row r="403" ht="15" customHeight="1">
      <c r="A403" s="27"/>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9"/>
    </row>
    <row r="404" ht="15" customHeight="1">
      <c r="A404" s="27"/>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9"/>
    </row>
    <row r="405" ht="15" customHeight="1">
      <c r="A405" s="27"/>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9"/>
    </row>
    <row r="406" ht="15" customHeight="1">
      <c r="A406" s="27"/>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9"/>
    </row>
    <row r="407" ht="15" customHeight="1">
      <c r="A407" s="27"/>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9"/>
    </row>
    <row r="408" ht="15" customHeight="1">
      <c r="A408" s="27"/>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9"/>
    </row>
    <row r="409" ht="15" customHeight="1">
      <c r="A409" s="27"/>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9"/>
    </row>
    <row r="410" ht="15" customHeight="1">
      <c r="A410" s="27"/>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9"/>
    </row>
    <row r="411" ht="15" customHeight="1">
      <c r="A411" s="27"/>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9"/>
    </row>
    <row r="412" ht="15" customHeight="1">
      <c r="A412" s="27"/>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9"/>
    </row>
    <row r="413" ht="15" customHeight="1">
      <c r="A413" s="27"/>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9"/>
    </row>
    <row r="414" ht="15" customHeight="1">
      <c r="A414" s="27"/>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9"/>
    </row>
    <row r="415" ht="15" customHeight="1">
      <c r="A415" s="27"/>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9"/>
    </row>
    <row r="416" ht="15" customHeight="1">
      <c r="A416" s="27"/>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9"/>
    </row>
    <row r="417" ht="15" customHeight="1">
      <c r="A417" s="27"/>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9"/>
    </row>
    <row r="418" ht="15" customHeight="1">
      <c r="A418" s="27"/>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9"/>
    </row>
    <row r="419" ht="15" customHeight="1">
      <c r="A419" s="27"/>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9"/>
    </row>
    <row r="420" ht="15" customHeight="1">
      <c r="A420" s="27"/>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9"/>
    </row>
    <row r="421" ht="15" customHeight="1">
      <c r="A421" s="27"/>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9"/>
    </row>
    <row r="422" ht="15" customHeight="1">
      <c r="A422" s="27"/>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9"/>
    </row>
    <row r="423" ht="15" customHeight="1">
      <c r="A423" s="27"/>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9"/>
    </row>
    <row r="424" ht="15" customHeight="1">
      <c r="A424" s="27"/>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9"/>
    </row>
    <row r="425" ht="15" customHeight="1">
      <c r="A425" s="27"/>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9"/>
    </row>
    <row r="426" ht="15" customHeight="1">
      <c r="A426" s="27"/>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9"/>
    </row>
    <row r="427" ht="15" customHeight="1">
      <c r="A427" s="27"/>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9"/>
    </row>
    <row r="428" ht="15" customHeight="1">
      <c r="A428" s="27"/>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9"/>
    </row>
    <row r="429" ht="15" customHeight="1">
      <c r="A429" s="27"/>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9"/>
    </row>
    <row r="430" ht="15" customHeight="1">
      <c r="A430" s="27"/>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9"/>
    </row>
    <row r="431" ht="15" customHeight="1">
      <c r="A431" s="27"/>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9"/>
    </row>
    <row r="432" ht="15" customHeight="1">
      <c r="A432" s="27"/>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9"/>
    </row>
    <row r="433" ht="15" customHeight="1">
      <c r="A433" s="27"/>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9"/>
    </row>
    <row r="434" ht="15" customHeight="1">
      <c r="A434" s="27"/>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9"/>
    </row>
    <row r="435" ht="15" customHeight="1">
      <c r="A435" s="27"/>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9"/>
    </row>
    <row r="436" ht="15" customHeight="1">
      <c r="A436" s="27"/>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9"/>
    </row>
    <row r="437" ht="15" customHeight="1">
      <c r="A437" s="27"/>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9"/>
    </row>
    <row r="438" ht="15" customHeight="1">
      <c r="A438" s="27"/>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9"/>
    </row>
    <row r="439" ht="15" customHeight="1">
      <c r="A439" s="27"/>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9"/>
    </row>
    <row r="440" ht="15" customHeight="1">
      <c r="A440" s="27"/>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9"/>
    </row>
    <row r="441" ht="15" customHeight="1">
      <c r="A441" s="27"/>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9"/>
    </row>
    <row r="442" ht="15" customHeight="1">
      <c r="A442" s="27"/>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9"/>
    </row>
    <row r="443" ht="15" customHeight="1">
      <c r="A443" s="27"/>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9"/>
    </row>
    <row r="444" ht="15" customHeight="1">
      <c r="A444" s="27"/>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9"/>
    </row>
    <row r="445" ht="15" customHeight="1">
      <c r="A445" s="27"/>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9"/>
    </row>
    <row r="446" ht="15" customHeight="1">
      <c r="A446" s="27"/>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9"/>
    </row>
    <row r="447" ht="15" customHeight="1">
      <c r="A447" s="27"/>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9"/>
    </row>
    <row r="448" ht="15" customHeight="1">
      <c r="A448" s="27"/>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9"/>
    </row>
    <row r="449" ht="15" customHeight="1">
      <c r="A449" s="27"/>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9"/>
    </row>
    <row r="450" ht="15" customHeight="1">
      <c r="A450" s="27"/>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9"/>
    </row>
    <row r="451" ht="15" customHeight="1">
      <c r="A451" s="27"/>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9"/>
    </row>
    <row r="452" ht="15" customHeight="1">
      <c r="A452" s="27"/>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9"/>
    </row>
    <row r="453" ht="15" customHeight="1">
      <c r="A453" s="27"/>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9"/>
    </row>
    <row r="454" ht="15" customHeight="1">
      <c r="A454" s="27"/>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9"/>
    </row>
    <row r="455" ht="15" customHeight="1">
      <c r="A455" s="27"/>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9"/>
    </row>
    <row r="456" ht="15" customHeight="1">
      <c r="A456" s="27"/>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9"/>
    </row>
    <row r="457" ht="15" customHeight="1">
      <c r="A457" s="27"/>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9"/>
    </row>
    <row r="458" ht="15" customHeight="1">
      <c r="A458" s="27"/>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9"/>
    </row>
    <row r="459" ht="15" customHeight="1">
      <c r="A459" s="27"/>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9"/>
    </row>
    <row r="460" ht="15" customHeight="1">
      <c r="A460" s="27"/>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9"/>
    </row>
    <row r="461" ht="15" customHeight="1">
      <c r="A461" s="27"/>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9"/>
    </row>
    <row r="462" ht="15" customHeight="1">
      <c r="A462" s="27"/>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9"/>
    </row>
    <row r="463" ht="15" customHeight="1">
      <c r="A463" s="27"/>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9"/>
    </row>
    <row r="464" ht="15" customHeight="1">
      <c r="A464" s="27"/>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9"/>
    </row>
    <row r="465" ht="15" customHeight="1">
      <c r="A465" s="27"/>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9"/>
    </row>
    <row r="466" ht="15" customHeight="1">
      <c r="A466" s="27"/>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9"/>
    </row>
    <row r="467" ht="15" customHeight="1">
      <c r="A467" s="27"/>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9"/>
    </row>
    <row r="468" ht="15" customHeight="1">
      <c r="A468" s="27"/>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9"/>
    </row>
    <row r="469" ht="15" customHeight="1">
      <c r="A469" s="27"/>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9"/>
    </row>
    <row r="470" ht="15" customHeight="1">
      <c r="A470" s="27"/>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9"/>
    </row>
    <row r="471" ht="15" customHeight="1">
      <c r="A471" s="27"/>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9"/>
    </row>
    <row r="472" ht="15" customHeight="1">
      <c r="A472" s="27"/>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9"/>
    </row>
    <row r="473" ht="15" customHeight="1">
      <c r="A473" s="27"/>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9"/>
    </row>
    <row r="474" ht="15" customHeight="1">
      <c r="A474" s="27"/>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9"/>
    </row>
    <row r="475" ht="15" customHeight="1">
      <c r="A475" s="27"/>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9"/>
    </row>
    <row r="476" ht="15" customHeight="1">
      <c r="A476" s="27"/>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9"/>
    </row>
    <row r="477" ht="15" customHeight="1">
      <c r="A477" s="27"/>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9"/>
    </row>
    <row r="478" ht="15" customHeight="1">
      <c r="A478" s="27"/>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9"/>
    </row>
    <row r="479" ht="15" customHeight="1">
      <c r="A479" s="27"/>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9"/>
    </row>
    <row r="480" ht="15" customHeight="1">
      <c r="A480" s="27"/>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9"/>
    </row>
    <row r="481" ht="15" customHeight="1">
      <c r="A481" s="27"/>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9"/>
    </row>
    <row r="482" ht="15" customHeight="1">
      <c r="A482" s="27"/>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9"/>
    </row>
    <row r="483" ht="15" customHeight="1">
      <c r="A483" s="27"/>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9"/>
    </row>
    <row r="484" ht="15" customHeight="1">
      <c r="A484" s="27"/>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9"/>
    </row>
    <row r="485" ht="15" customHeight="1">
      <c r="A485" s="27"/>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9"/>
    </row>
    <row r="486" ht="15" customHeight="1">
      <c r="A486" s="27"/>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9"/>
    </row>
    <row r="487" ht="15" customHeight="1">
      <c r="A487" s="27"/>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9"/>
    </row>
    <row r="488" ht="15" customHeight="1">
      <c r="A488" s="27"/>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9"/>
    </row>
    <row r="489" ht="15" customHeight="1">
      <c r="A489" s="27"/>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9"/>
    </row>
    <row r="490" ht="15" customHeight="1">
      <c r="A490" s="27"/>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9"/>
    </row>
    <row r="491" ht="15" customHeight="1">
      <c r="A491" s="27"/>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9"/>
    </row>
    <row r="492" ht="15" customHeight="1">
      <c r="A492" s="27"/>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9"/>
    </row>
    <row r="493" ht="15" customHeight="1">
      <c r="A493" s="27"/>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9"/>
    </row>
    <row r="494" ht="15" customHeight="1">
      <c r="A494" s="27"/>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9"/>
    </row>
    <row r="495" ht="15" customHeight="1">
      <c r="A495" s="27"/>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9"/>
    </row>
    <row r="496" ht="15" customHeight="1">
      <c r="A496" s="27"/>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9"/>
    </row>
    <row r="497" ht="15" customHeight="1">
      <c r="A497" s="27"/>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9"/>
    </row>
    <row r="498" ht="15" customHeight="1">
      <c r="A498" s="27"/>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9"/>
    </row>
    <row r="499" ht="15" customHeight="1">
      <c r="A499" s="27"/>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9"/>
    </row>
    <row r="500" ht="15" customHeight="1">
      <c r="A500" s="27"/>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9"/>
    </row>
    <row r="501" ht="15" customHeight="1">
      <c r="A501" s="27"/>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9"/>
    </row>
    <row r="502" ht="15" customHeight="1">
      <c r="A502" s="27"/>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9"/>
    </row>
    <row r="503" ht="15" customHeight="1">
      <c r="A503" s="27"/>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9"/>
    </row>
    <row r="504" ht="15" customHeight="1">
      <c r="A504" s="27"/>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9"/>
    </row>
    <row r="505" ht="15" customHeight="1">
      <c r="A505" s="27"/>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9"/>
    </row>
    <row r="506" ht="15" customHeight="1">
      <c r="A506" s="27"/>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9"/>
    </row>
    <row r="507" ht="15" customHeight="1">
      <c r="A507" s="27"/>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9"/>
    </row>
    <row r="508" ht="15" customHeight="1">
      <c r="A508" s="27"/>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9"/>
    </row>
    <row r="509" ht="15" customHeight="1">
      <c r="A509" s="27"/>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9"/>
    </row>
    <row r="510" ht="15" customHeight="1">
      <c r="A510" s="27"/>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9"/>
    </row>
    <row r="511" ht="15" customHeight="1">
      <c r="A511" s="27"/>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9"/>
    </row>
    <row r="512" ht="15" customHeight="1">
      <c r="A512" s="27"/>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9"/>
    </row>
    <row r="513" ht="15" customHeight="1">
      <c r="A513" s="27"/>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9"/>
    </row>
    <row r="514" ht="15" customHeight="1">
      <c r="A514" s="27"/>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9"/>
    </row>
    <row r="515" ht="15" customHeight="1">
      <c r="A515" s="27"/>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9"/>
    </row>
    <row r="516" ht="15" customHeight="1">
      <c r="A516" s="27"/>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9"/>
    </row>
    <row r="517" ht="15" customHeight="1">
      <c r="A517" s="27"/>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9"/>
    </row>
    <row r="518" ht="15" customHeight="1">
      <c r="A518" s="27"/>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9"/>
    </row>
    <row r="519" ht="15" customHeight="1">
      <c r="A519" s="27"/>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9"/>
    </row>
    <row r="520" ht="15" customHeight="1">
      <c r="A520" s="27"/>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9"/>
    </row>
    <row r="521" ht="15" customHeight="1">
      <c r="A521" s="27"/>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9"/>
    </row>
    <row r="522" ht="15" customHeight="1">
      <c r="A522" s="27"/>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9"/>
    </row>
    <row r="523" ht="15" customHeight="1">
      <c r="A523" s="27"/>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9"/>
    </row>
    <row r="524" ht="15" customHeight="1">
      <c r="A524" s="27"/>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9"/>
    </row>
    <row r="525" ht="15" customHeight="1">
      <c r="A525" s="27"/>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9"/>
    </row>
    <row r="526" ht="15" customHeight="1">
      <c r="A526" s="27"/>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9"/>
    </row>
    <row r="527" ht="15" customHeight="1">
      <c r="A527" s="27"/>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9"/>
    </row>
    <row r="528" ht="15" customHeight="1">
      <c r="A528" s="27"/>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9"/>
    </row>
    <row r="529" ht="15" customHeight="1">
      <c r="A529" s="27"/>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9"/>
    </row>
    <row r="530" ht="15" customHeight="1">
      <c r="A530" s="27"/>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9"/>
    </row>
    <row r="531" ht="15" customHeight="1">
      <c r="A531" s="27"/>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9"/>
    </row>
    <row r="532" ht="15" customHeight="1">
      <c r="A532" s="27"/>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9"/>
    </row>
    <row r="533" ht="15" customHeight="1">
      <c r="A533" s="27"/>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9"/>
    </row>
    <row r="534" ht="15" customHeight="1">
      <c r="A534" s="27"/>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9"/>
    </row>
    <row r="535" ht="15" customHeight="1">
      <c r="A535" s="27"/>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9"/>
    </row>
    <row r="536" ht="15" customHeight="1">
      <c r="A536" s="27"/>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9"/>
    </row>
    <row r="537" ht="15" customHeight="1">
      <c r="A537" s="27"/>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9"/>
    </row>
    <row r="538" ht="15" customHeight="1">
      <c r="A538" s="27"/>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9"/>
    </row>
    <row r="539" ht="15" customHeight="1">
      <c r="A539" s="27"/>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9"/>
    </row>
    <row r="540" ht="15" customHeight="1">
      <c r="A540" s="27"/>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9"/>
    </row>
    <row r="541" ht="15" customHeight="1">
      <c r="A541" s="27"/>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9"/>
    </row>
    <row r="542" ht="15" customHeight="1">
      <c r="A542" s="27"/>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9"/>
    </row>
    <row r="543" ht="15" customHeight="1">
      <c r="A543" s="27"/>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9"/>
    </row>
    <row r="544" ht="15" customHeight="1">
      <c r="A544" s="27"/>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9"/>
    </row>
    <row r="545" ht="15" customHeight="1">
      <c r="A545" s="27"/>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9"/>
    </row>
    <row r="546" ht="15" customHeight="1">
      <c r="A546" s="27"/>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9"/>
    </row>
    <row r="547" ht="15" customHeight="1">
      <c r="A547" s="27"/>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9"/>
    </row>
    <row r="548" ht="15" customHeight="1">
      <c r="A548" s="27"/>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9"/>
    </row>
    <row r="549" ht="15" customHeight="1">
      <c r="A549" s="27"/>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9"/>
    </row>
    <row r="550" ht="15" customHeight="1">
      <c r="A550" s="27"/>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9"/>
    </row>
    <row r="551" ht="15" customHeight="1">
      <c r="A551" s="27"/>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9"/>
    </row>
    <row r="552" ht="15" customHeight="1">
      <c r="A552" s="27"/>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9"/>
    </row>
    <row r="553" ht="15" customHeight="1">
      <c r="A553" s="27"/>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9"/>
    </row>
    <row r="554" ht="15" customHeight="1">
      <c r="A554" s="27"/>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9"/>
    </row>
    <row r="555" ht="15" customHeight="1">
      <c r="A555" s="27"/>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9"/>
    </row>
    <row r="556" ht="15" customHeight="1">
      <c r="A556" s="27"/>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9"/>
    </row>
    <row r="557" ht="15" customHeight="1">
      <c r="A557" s="27"/>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9"/>
    </row>
    <row r="558" ht="15" customHeight="1">
      <c r="A558" s="27"/>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9"/>
    </row>
    <row r="559" ht="15" customHeight="1">
      <c r="A559" s="27"/>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9"/>
    </row>
    <row r="560" ht="15" customHeight="1">
      <c r="A560" s="27"/>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9"/>
    </row>
    <row r="561" ht="15" customHeight="1">
      <c r="A561" s="27"/>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9"/>
    </row>
    <row r="562" ht="15" customHeight="1">
      <c r="A562" s="27"/>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9"/>
    </row>
    <row r="563" ht="15" customHeight="1">
      <c r="A563" s="27"/>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9"/>
    </row>
    <row r="564" ht="15" customHeight="1">
      <c r="A564" s="27"/>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9"/>
    </row>
    <row r="565" ht="15" customHeight="1">
      <c r="A565" s="27"/>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9"/>
    </row>
    <row r="566" ht="15" customHeight="1">
      <c r="A566" s="27"/>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9"/>
    </row>
    <row r="567" ht="15" customHeight="1">
      <c r="A567" s="27"/>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9"/>
    </row>
    <row r="568" ht="15" customHeight="1">
      <c r="A568" s="27"/>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9"/>
    </row>
    <row r="569" ht="15" customHeight="1">
      <c r="A569" s="27"/>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9"/>
    </row>
    <row r="570" ht="15" customHeight="1">
      <c r="A570" s="27"/>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9"/>
    </row>
    <row r="571" ht="15" customHeight="1">
      <c r="A571" s="27"/>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9"/>
    </row>
    <row r="572" ht="15" customHeight="1">
      <c r="A572" s="27"/>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9"/>
    </row>
    <row r="573" ht="15" customHeight="1">
      <c r="A573" s="27"/>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9"/>
    </row>
    <row r="574" ht="15" customHeight="1">
      <c r="A574" s="27"/>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9"/>
    </row>
    <row r="575" ht="15" customHeight="1">
      <c r="A575" s="27"/>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9"/>
    </row>
    <row r="576" ht="15" customHeight="1">
      <c r="A576" s="27"/>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9"/>
    </row>
    <row r="577" ht="15" customHeight="1">
      <c r="A577" s="27"/>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9"/>
    </row>
    <row r="578" ht="15" customHeight="1">
      <c r="A578" s="27"/>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9"/>
    </row>
    <row r="579" ht="15" customHeight="1">
      <c r="A579" s="27"/>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9"/>
    </row>
    <row r="580" ht="15" customHeight="1">
      <c r="A580" s="27"/>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9"/>
    </row>
    <row r="581" ht="15" customHeight="1">
      <c r="A581" s="27"/>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9"/>
    </row>
    <row r="582" ht="15" customHeight="1">
      <c r="A582" s="27"/>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9"/>
    </row>
    <row r="583" ht="15" customHeight="1">
      <c r="A583" s="27"/>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9"/>
    </row>
    <row r="584" ht="15" customHeight="1">
      <c r="A584" s="27"/>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9"/>
    </row>
    <row r="585" ht="15" customHeight="1">
      <c r="A585" s="27"/>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9"/>
    </row>
    <row r="586" ht="15" customHeight="1">
      <c r="A586" s="27"/>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9"/>
    </row>
    <row r="587" ht="15" customHeight="1">
      <c r="A587" s="27"/>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9"/>
    </row>
    <row r="588" ht="15" customHeight="1">
      <c r="A588" s="27"/>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9"/>
    </row>
    <row r="589" ht="15" customHeight="1">
      <c r="A589" s="27"/>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9"/>
    </row>
    <row r="590" ht="15" customHeight="1">
      <c r="A590" s="27"/>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9"/>
    </row>
    <row r="591" ht="15" customHeight="1">
      <c r="A591" s="27"/>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9"/>
    </row>
    <row r="592" ht="15" customHeight="1">
      <c r="A592" s="27"/>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9"/>
    </row>
    <row r="593" ht="15" customHeight="1">
      <c r="A593" s="27"/>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9"/>
    </row>
    <row r="594" ht="15" customHeight="1">
      <c r="A594" s="27"/>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9"/>
    </row>
    <row r="595" ht="15" customHeight="1">
      <c r="A595" s="27"/>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9"/>
    </row>
    <row r="596" ht="15" customHeight="1">
      <c r="A596" s="27"/>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9"/>
    </row>
    <row r="597" ht="15" customHeight="1">
      <c r="A597" s="27"/>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9"/>
    </row>
    <row r="598" ht="15" customHeight="1">
      <c r="A598" s="27"/>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9"/>
    </row>
    <row r="599" ht="15" customHeight="1">
      <c r="A599" s="27"/>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9"/>
    </row>
    <row r="600" ht="15" customHeight="1">
      <c r="A600" s="27"/>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9"/>
    </row>
    <row r="601" ht="15" customHeight="1">
      <c r="A601" s="27"/>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9"/>
    </row>
    <row r="602" ht="15" customHeight="1">
      <c r="A602" s="27"/>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9"/>
    </row>
    <row r="603" ht="15" customHeight="1">
      <c r="A603" s="27"/>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9"/>
    </row>
    <row r="604" ht="15" customHeight="1">
      <c r="A604" s="27"/>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9"/>
    </row>
    <row r="605" ht="15" customHeight="1">
      <c r="A605" s="27"/>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9"/>
    </row>
    <row r="606" ht="15" customHeight="1">
      <c r="A606" s="27"/>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9"/>
    </row>
    <row r="607" ht="15" customHeight="1">
      <c r="A607" s="27"/>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9"/>
    </row>
    <row r="608" ht="15" customHeight="1">
      <c r="A608" s="27"/>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9"/>
    </row>
    <row r="609" ht="15" customHeight="1">
      <c r="A609" s="27"/>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9"/>
    </row>
    <row r="610" ht="15" customHeight="1">
      <c r="A610" s="27"/>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9"/>
    </row>
    <row r="611" ht="15" customHeight="1">
      <c r="A611" s="27"/>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9"/>
    </row>
    <row r="612" ht="15" customHeight="1">
      <c r="A612" s="27"/>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9"/>
    </row>
    <row r="613" ht="15" customHeight="1">
      <c r="A613" s="27"/>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9"/>
    </row>
    <row r="614" ht="15" customHeight="1">
      <c r="A614" s="27"/>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9"/>
    </row>
    <row r="615" ht="15" customHeight="1">
      <c r="A615" s="27"/>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9"/>
    </row>
    <row r="616" ht="15" customHeight="1">
      <c r="A616" s="27"/>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9"/>
    </row>
    <row r="617" ht="15" customHeight="1">
      <c r="A617" s="27"/>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9"/>
    </row>
    <row r="618" ht="15" customHeight="1">
      <c r="A618" s="27"/>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9"/>
    </row>
    <row r="619" ht="15" customHeight="1">
      <c r="A619" s="27"/>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9"/>
    </row>
    <row r="620" ht="15" customHeight="1">
      <c r="A620" s="27"/>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9"/>
    </row>
    <row r="621" ht="15" customHeight="1">
      <c r="A621" s="27"/>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9"/>
    </row>
    <row r="622" ht="15" customHeight="1">
      <c r="A622" s="27"/>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9"/>
    </row>
    <row r="623" ht="15" customHeight="1">
      <c r="A623" s="27"/>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9"/>
    </row>
    <row r="624" ht="15" customHeight="1">
      <c r="A624" s="27"/>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9"/>
    </row>
    <row r="625" ht="15" customHeight="1">
      <c r="A625" s="27"/>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9"/>
    </row>
    <row r="626" ht="15" customHeight="1">
      <c r="A626" s="27"/>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9"/>
    </row>
    <row r="627" ht="15" customHeight="1">
      <c r="A627" s="27"/>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9"/>
    </row>
    <row r="628" ht="15" customHeight="1">
      <c r="A628" s="27"/>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9"/>
    </row>
    <row r="629" ht="15" customHeight="1">
      <c r="A629" s="27"/>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9"/>
    </row>
    <row r="630" ht="15" customHeight="1">
      <c r="A630" s="27"/>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9"/>
    </row>
    <row r="631" ht="15" customHeight="1">
      <c r="A631" s="27"/>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9"/>
    </row>
    <row r="632" ht="15" customHeight="1">
      <c r="A632" s="27"/>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9"/>
    </row>
    <row r="633" ht="15" customHeight="1">
      <c r="A633" s="27"/>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9"/>
    </row>
    <row r="634" ht="15" customHeight="1">
      <c r="A634" s="27"/>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9"/>
    </row>
    <row r="635" ht="15" customHeight="1">
      <c r="A635" s="27"/>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9"/>
    </row>
    <row r="636" ht="15" customHeight="1">
      <c r="A636" s="27"/>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9"/>
    </row>
    <row r="637" ht="15" customHeight="1">
      <c r="A637" s="27"/>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9"/>
    </row>
    <row r="638" ht="15" customHeight="1">
      <c r="A638" s="27"/>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9"/>
    </row>
    <row r="639" ht="15" customHeight="1">
      <c r="A639" s="27"/>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9"/>
    </row>
    <row r="640" ht="15" customHeight="1">
      <c r="A640" s="27"/>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9"/>
    </row>
    <row r="641" ht="15" customHeight="1">
      <c r="A641" s="27"/>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9"/>
    </row>
    <row r="642" ht="15" customHeight="1">
      <c r="A642" s="27"/>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9"/>
    </row>
    <row r="643" ht="15" customHeight="1">
      <c r="A643" s="27"/>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9"/>
    </row>
    <row r="644" ht="15" customHeight="1">
      <c r="A644" s="27"/>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9"/>
    </row>
    <row r="645" ht="15" customHeight="1">
      <c r="A645" s="27"/>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9"/>
    </row>
    <row r="646" ht="15" customHeight="1">
      <c r="A646" s="27"/>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9"/>
    </row>
    <row r="647" ht="15" customHeight="1">
      <c r="A647" s="27"/>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9"/>
    </row>
    <row r="648" ht="15" customHeight="1">
      <c r="A648" s="27"/>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9"/>
    </row>
    <row r="649" ht="15" customHeight="1">
      <c r="A649" s="27"/>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9"/>
    </row>
    <row r="650" ht="15" customHeight="1">
      <c r="A650" s="27"/>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9"/>
    </row>
    <row r="651" ht="15" customHeight="1">
      <c r="A651" s="27"/>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9"/>
    </row>
    <row r="652" ht="15" customHeight="1">
      <c r="A652" s="27"/>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9"/>
    </row>
    <row r="653" ht="15" customHeight="1">
      <c r="A653" s="27"/>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9"/>
    </row>
    <row r="654" ht="15" customHeight="1">
      <c r="A654" s="27"/>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9"/>
    </row>
    <row r="655" ht="15" customHeight="1">
      <c r="A655" s="27"/>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9"/>
    </row>
    <row r="656" ht="15" customHeight="1">
      <c r="A656" s="27"/>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9"/>
    </row>
    <row r="657" ht="15" customHeight="1">
      <c r="A657" s="27"/>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9"/>
    </row>
    <row r="658" ht="15" customHeight="1">
      <c r="A658" s="27"/>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9"/>
    </row>
    <row r="659" ht="15" customHeight="1">
      <c r="A659" s="27"/>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9"/>
    </row>
    <row r="660" ht="15" customHeight="1">
      <c r="A660" s="27"/>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9"/>
    </row>
    <row r="661" ht="15" customHeight="1">
      <c r="A661" s="27"/>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9"/>
    </row>
    <row r="662" ht="15" customHeight="1">
      <c r="A662" s="27"/>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9"/>
    </row>
    <row r="663" ht="15" customHeight="1">
      <c r="A663" s="27"/>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9"/>
    </row>
    <row r="664" ht="15" customHeight="1">
      <c r="A664" s="27"/>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9"/>
    </row>
    <row r="665" ht="15" customHeight="1">
      <c r="A665" s="27"/>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9"/>
    </row>
    <row r="666" ht="15" customHeight="1">
      <c r="A666" s="27"/>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9"/>
    </row>
    <row r="667" ht="15" customHeight="1">
      <c r="A667" s="27"/>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9"/>
    </row>
    <row r="668" ht="15" customHeight="1">
      <c r="A668" s="27"/>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9"/>
    </row>
    <row r="669" ht="15" customHeight="1">
      <c r="A669" s="27"/>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9"/>
    </row>
    <row r="670" ht="15" customHeight="1">
      <c r="A670" s="27"/>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9"/>
    </row>
    <row r="671" ht="15" customHeight="1">
      <c r="A671" s="27"/>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9"/>
    </row>
    <row r="672" ht="15" customHeight="1">
      <c r="A672" s="27"/>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9"/>
    </row>
    <row r="673" ht="15" customHeight="1">
      <c r="A673" s="27"/>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9"/>
    </row>
    <row r="674" ht="15" customHeight="1">
      <c r="A674" s="27"/>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9"/>
    </row>
    <row r="675" ht="15" customHeight="1">
      <c r="A675" s="27"/>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9"/>
    </row>
    <row r="676" ht="15" customHeight="1">
      <c r="A676" s="27"/>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9"/>
    </row>
    <row r="677" ht="15" customHeight="1">
      <c r="A677" s="27"/>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9"/>
    </row>
    <row r="678" ht="15" customHeight="1">
      <c r="A678" s="27"/>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9"/>
    </row>
    <row r="679" ht="15" customHeight="1">
      <c r="A679" s="27"/>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9"/>
    </row>
    <row r="680" ht="15" customHeight="1">
      <c r="A680" s="27"/>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9"/>
    </row>
    <row r="681" ht="15" customHeight="1">
      <c r="A681" s="27"/>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9"/>
    </row>
    <row r="682" ht="15" customHeight="1">
      <c r="A682" s="27"/>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9"/>
    </row>
    <row r="683" ht="15" customHeight="1">
      <c r="A683" s="27"/>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9"/>
    </row>
    <row r="684" ht="15" customHeight="1">
      <c r="A684" s="27"/>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9"/>
    </row>
    <row r="685" ht="15" customHeight="1">
      <c r="A685" s="27"/>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9"/>
    </row>
    <row r="686" ht="15" customHeight="1">
      <c r="A686" s="27"/>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9"/>
    </row>
    <row r="687" ht="15" customHeight="1">
      <c r="A687" s="27"/>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9"/>
    </row>
    <row r="688" ht="15" customHeight="1">
      <c r="A688" s="27"/>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9"/>
    </row>
    <row r="689" ht="15" customHeight="1">
      <c r="A689" s="27"/>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9"/>
    </row>
    <row r="690" ht="15" customHeight="1">
      <c r="A690" s="27"/>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9"/>
    </row>
    <row r="691" ht="15" customHeight="1">
      <c r="A691" s="27"/>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9"/>
    </row>
    <row r="692" ht="15" customHeight="1">
      <c r="A692" s="27"/>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9"/>
    </row>
    <row r="693" ht="15" customHeight="1">
      <c r="A693" s="27"/>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9"/>
    </row>
    <row r="694" ht="15" customHeight="1">
      <c r="A694" s="27"/>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9"/>
    </row>
    <row r="695" ht="15" customHeight="1">
      <c r="A695" s="27"/>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9"/>
    </row>
    <row r="696" ht="15" customHeight="1">
      <c r="A696" s="27"/>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9"/>
    </row>
    <row r="697" ht="15" customHeight="1">
      <c r="A697" s="27"/>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9"/>
    </row>
    <row r="698" ht="15" customHeight="1">
      <c r="A698" s="27"/>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9"/>
    </row>
    <row r="699" ht="15" customHeight="1">
      <c r="A699" s="27"/>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9"/>
    </row>
    <row r="700" ht="15" customHeight="1">
      <c r="A700" s="27"/>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9"/>
    </row>
    <row r="701" ht="15" customHeight="1">
      <c r="A701" s="27"/>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9"/>
    </row>
    <row r="702" ht="15" customHeight="1">
      <c r="A702" s="27"/>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9"/>
    </row>
    <row r="703" ht="15" customHeight="1">
      <c r="A703" s="27"/>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9"/>
    </row>
    <row r="704" ht="15" customHeight="1">
      <c r="A704" s="27"/>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9"/>
    </row>
    <row r="705" ht="15" customHeight="1">
      <c r="A705" s="27"/>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9"/>
    </row>
    <row r="706" ht="15" customHeight="1">
      <c r="A706" s="27"/>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9"/>
    </row>
    <row r="707" ht="15" customHeight="1">
      <c r="A707" s="27"/>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9"/>
    </row>
    <row r="708" ht="15" customHeight="1">
      <c r="A708" s="27"/>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9"/>
    </row>
    <row r="709" ht="15" customHeight="1">
      <c r="A709" s="27"/>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9"/>
    </row>
    <row r="710" ht="15" customHeight="1">
      <c r="A710" s="27"/>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9"/>
    </row>
    <row r="711" ht="15" customHeight="1">
      <c r="A711" s="27"/>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9"/>
    </row>
    <row r="712" ht="15" customHeight="1">
      <c r="A712" s="27"/>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9"/>
    </row>
    <row r="713" ht="15" customHeight="1">
      <c r="A713" s="27"/>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9"/>
    </row>
    <row r="714" ht="15" customHeight="1">
      <c r="A714" s="27"/>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9"/>
    </row>
    <row r="715" ht="15" customHeight="1">
      <c r="A715" s="27"/>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9"/>
    </row>
    <row r="716" ht="15" customHeight="1">
      <c r="A716" s="27"/>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9"/>
    </row>
    <row r="717" ht="15" customHeight="1">
      <c r="A717" s="27"/>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9"/>
    </row>
    <row r="718" ht="15" customHeight="1">
      <c r="A718" s="27"/>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9"/>
    </row>
    <row r="719" ht="15" customHeight="1">
      <c r="A719" s="27"/>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9"/>
    </row>
    <row r="720" ht="15" customHeight="1">
      <c r="A720" s="27"/>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9"/>
    </row>
    <row r="721" ht="15" customHeight="1">
      <c r="A721" s="27"/>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9"/>
    </row>
    <row r="722" ht="15" customHeight="1">
      <c r="A722" s="27"/>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9"/>
    </row>
    <row r="723" ht="15" customHeight="1">
      <c r="A723" s="27"/>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9"/>
    </row>
    <row r="724" ht="15" customHeight="1">
      <c r="A724" s="27"/>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9"/>
    </row>
    <row r="725" ht="15" customHeight="1">
      <c r="A725" s="27"/>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9"/>
    </row>
    <row r="726" ht="15" customHeight="1">
      <c r="A726" s="27"/>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9"/>
    </row>
    <row r="727" ht="15" customHeight="1">
      <c r="A727" s="27"/>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9"/>
    </row>
    <row r="728" ht="15" customHeight="1">
      <c r="A728" s="27"/>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9"/>
    </row>
    <row r="729" ht="15" customHeight="1">
      <c r="A729" s="27"/>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9"/>
    </row>
    <row r="730" ht="15" customHeight="1">
      <c r="A730" s="27"/>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9"/>
    </row>
    <row r="731" ht="15" customHeight="1">
      <c r="A731" s="27"/>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9"/>
    </row>
    <row r="732" ht="15" customHeight="1">
      <c r="A732" s="27"/>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9"/>
    </row>
    <row r="733" ht="15" customHeight="1">
      <c r="A733" s="27"/>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9"/>
    </row>
    <row r="734" ht="15" customHeight="1">
      <c r="A734" s="27"/>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9"/>
    </row>
    <row r="735" ht="15" customHeight="1">
      <c r="A735" s="27"/>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9"/>
    </row>
    <row r="736" ht="15" customHeight="1">
      <c r="A736" s="27"/>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9"/>
    </row>
    <row r="737" ht="15" customHeight="1">
      <c r="A737" s="27"/>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9"/>
    </row>
    <row r="738" ht="15" customHeight="1">
      <c r="A738" s="27"/>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9"/>
    </row>
    <row r="739" ht="15" customHeight="1">
      <c r="A739" s="27"/>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9"/>
    </row>
    <row r="740" ht="15" customHeight="1">
      <c r="A740" s="27"/>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9"/>
    </row>
    <row r="741" ht="15" customHeight="1">
      <c r="A741" s="27"/>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9"/>
    </row>
    <row r="742" ht="15" customHeight="1">
      <c r="A742" s="27"/>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9"/>
    </row>
    <row r="743" ht="15" customHeight="1">
      <c r="A743" s="27"/>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9"/>
    </row>
    <row r="744" ht="15" customHeight="1">
      <c r="A744" s="27"/>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9"/>
    </row>
    <row r="745" ht="15" customHeight="1">
      <c r="A745" s="27"/>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9"/>
    </row>
    <row r="746" ht="15" customHeight="1">
      <c r="A746" s="27"/>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9"/>
    </row>
    <row r="747" ht="15" customHeight="1">
      <c r="A747" s="27"/>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9"/>
    </row>
    <row r="748" ht="15" customHeight="1">
      <c r="A748" s="27"/>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9"/>
    </row>
    <row r="749" ht="15" customHeight="1">
      <c r="A749" s="27"/>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9"/>
    </row>
    <row r="750" ht="15" customHeight="1">
      <c r="A750" s="27"/>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9"/>
    </row>
    <row r="751" ht="15" customHeight="1">
      <c r="A751" s="27"/>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9"/>
    </row>
    <row r="752" ht="15" customHeight="1">
      <c r="A752" s="27"/>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9"/>
    </row>
    <row r="753" ht="15" customHeight="1">
      <c r="A753" s="27"/>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9"/>
    </row>
    <row r="754" ht="15" customHeight="1">
      <c r="A754" s="27"/>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9"/>
    </row>
    <row r="755" ht="15" customHeight="1">
      <c r="A755" s="27"/>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9"/>
    </row>
    <row r="756" ht="15" customHeight="1">
      <c r="A756" s="27"/>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9"/>
    </row>
    <row r="757" ht="15" customHeight="1">
      <c r="A757" s="27"/>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9"/>
    </row>
    <row r="758" ht="15" customHeight="1">
      <c r="A758" s="27"/>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9"/>
    </row>
    <row r="759" ht="15" customHeight="1">
      <c r="A759" s="27"/>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9"/>
    </row>
    <row r="760" ht="15" customHeight="1">
      <c r="A760" s="27"/>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9"/>
    </row>
    <row r="761" ht="15" customHeight="1">
      <c r="A761" s="27"/>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9"/>
    </row>
    <row r="762" ht="15" customHeight="1">
      <c r="A762" s="27"/>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9"/>
    </row>
    <row r="763" ht="15" customHeight="1">
      <c r="A763" s="27"/>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9"/>
    </row>
    <row r="764" ht="15" customHeight="1">
      <c r="A764" s="27"/>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9"/>
    </row>
    <row r="765" ht="15" customHeight="1">
      <c r="A765" s="27"/>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9"/>
    </row>
    <row r="766" ht="15" customHeight="1">
      <c r="A766" s="27"/>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9"/>
    </row>
    <row r="767" ht="15" customHeight="1">
      <c r="A767" s="27"/>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9"/>
    </row>
    <row r="768" ht="15" customHeight="1">
      <c r="A768" s="27"/>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9"/>
    </row>
    <row r="769" ht="15" customHeight="1">
      <c r="A769" s="27"/>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9"/>
    </row>
    <row r="770" ht="15" customHeight="1">
      <c r="A770" s="27"/>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9"/>
    </row>
    <row r="771" ht="15" customHeight="1">
      <c r="A771" s="27"/>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9"/>
    </row>
    <row r="772" ht="15" customHeight="1">
      <c r="A772" s="27"/>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9"/>
    </row>
    <row r="773" ht="15" customHeight="1">
      <c r="A773" s="27"/>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9"/>
    </row>
    <row r="774" ht="15" customHeight="1">
      <c r="A774" s="27"/>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9"/>
    </row>
    <row r="775" ht="15" customHeight="1">
      <c r="A775" s="27"/>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9"/>
    </row>
    <row r="776" ht="15" customHeight="1">
      <c r="A776" s="27"/>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9"/>
    </row>
    <row r="777" ht="15" customHeight="1">
      <c r="A777" s="27"/>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9"/>
    </row>
    <row r="778" ht="15" customHeight="1">
      <c r="A778" s="27"/>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9"/>
    </row>
    <row r="779" ht="15" customHeight="1">
      <c r="A779" s="27"/>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9"/>
    </row>
    <row r="780" ht="15" customHeight="1">
      <c r="A780" s="27"/>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9"/>
    </row>
    <row r="781" ht="15" customHeight="1">
      <c r="A781" s="27"/>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9"/>
    </row>
    <row r="782" ht="15" customHeight="1">
      <c r="A782" s="27"/>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9"/>
    </row>
    <row r="783" ht="15" customHeight="1">
      <c r="A783" s="27"/>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9"/>
    </row>
    <row r="784" ht="15" customHeight="1">
      <c r="A784" s="27"/>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9"/>
    </row>
    <row r="785" ht="15" customHeight="1">
      <c r="A785" s="27"/>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9"/>
    </row>
    <row r="786" ht="15" customHeight="1">
      <c r="A786" s="27"/>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9"/>
    </row>
    <row r="787" ht="15" customHeight="1">
      <c r="A787" s="27"/>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9"/>
    </row>
    <row r="788" ht="15" customHeight="1">
      <c r="A788" s="27"/>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9"/>
    </row>
    <row r="789" ht="15" customHeight="1">
      <c r="A789" s="27"/>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9"/>
    </row>
    <row r="790" ht="15" customHeight="1">
      <c r="A790" s="27"/>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9"/>
    </row>
    <row r="791" ht="15" customHeight="1">
      <c r="A791" s="27"/>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9"/>
    </row>
    <row r="792" ht="15" customHeight="1">
      <c r="A792" s="27"/>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9"/>
    </row>
    <row r="793" ht="15" customHeight="1">
      <c r="A793" s="27"/>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9"/>
    </row>
    <row r="794" ht="15" customHeight="1">
      <c r="A794" s="27"/>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9"/>
    </row>
    <row r="795" ht="15" customHeight="1">
      <c r="A795" s="27"/>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9"/>
    </row>
    <row r="796" ht="15" customHeight="1">
      <c r="A796" s="27"/>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9"/>
    </row>
    <row r="797" ht="15" customHeight="1">
      <c r="A797" s="27"/>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9"/>
    </row>
    <row r="798" ht="15" customHeight="1">
      <c r="A798" s="27"/>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9"/>
    </row>
    <row r="799" ht="15" customHeight="1">
      <c r="A799" s="27"/>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9"/>
    </row>
    <row r="800" ht="15" customHeight="1">
      <c r="A800" s="27"/>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9"/>
    </row>
    <row r="801" ht="15" customHeight="1">
      <c r="A801" s="27"/>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9"/>
    </row>
    <row r="802" ht="15" customHeight="1">
      <c r="A802" s="27"/>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9"/>
    </row>
    <row r="803" ht="15" customHeight="1">
      <c r="A803" s="27"/>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9"/>
    </row>
    <row r="804" ht="15" customHeight="1">
      <c r="A804" s="27"/>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9"/>
    </row>
    <row r="805" ht="15" customHeight="1">
      <c r="A805" s="27"/>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9"/>
    </row>
    <row r="806" ht="15" customHeight="1">
      <c r="A806" s="27"/>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9"/>
    </row>
    <row r="807" ht="15" customHeight="1">
      <c r="A807" s="27"/>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9"/>
    </row>
    <row r="808" ht="15" customHeight="1">
      <c r="A808" s="27"/>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9"/>
    </row>
    <row r="809" ht="15" customHeight="1">
      <c r="A809" s="27"/>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9"/>
    </row>
    <row r="810" ht="15" customHeight="1">
      <c r="A810" s="27"/>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9"/>
    </row>
    <row r="811" ht="15" customHeight="1">
      <c r="A811" s="27"/>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9"/>
    </row>
    <row r="812" ht="15" customHeight="1">
      <c r="A812" s="27"/>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9"/>
    </row>
    <row r="813" ht="15" customHeight="1">
      <c r="A813" s="27"/>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9"/>
    </row>
    <row r="814" ht="15" customHeight="1">
      <c r="A814" s="27"/>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9"/>
    </row>
    <row r="815" ht="15" customHeight="1">
      <c r="A815" s="27"/>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9"/>
    </row>
    <row r="816" ht="15" customHeight="1">
      <c r="A816" s="27"/>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9"/>
    </row>
    <row r="817" ht="15" customHeight="1">
      <c r="A817" s="27"/>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9"/>
    </row>
    <row r="818" ht="15" customHeight="1">
      <c r="A818" s="27"/>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9"/>
    </row>
    <row r="819" ht="15" customHeight="1">
      <c r="A819" s="27"/>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9"/>
    </row>
    <row r="820" ht="15" customHeight="1">
      <c r="A820" s="27"/>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9"/>
    </row>
    <row r="821" ht="15" customHeight="1">
      <c r="A821" s="27"/>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9"/>
    </row>
    <row r="822" ht="15" customHeight="1">
      <c r="A822" s="27"/>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9"/>
    </row>
    <row r="823" ht="15" customHeight="1">
      <c r="A823" s="27"/>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9"/>
    </row>
    <row r="824" ht="15" customHeight="1">
      <c r="A824" s="27"/>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9"/>
    </row>
    <row r="825" ht="15" customHeight="1">
      <c r="A825" s="27"/>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9"/>
    </row>
    <row r="826" ht="15" customHeight="1">
      <c r="A826" s="27"/>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9"/>
    </row>
    <row r="827" ht="15" customHeight="1">
      <c r="A827" s="27"/>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9"/>
    </row>
    <row r="828" ht="15" customHeight="1">
      <c r="A828" s="27"/>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9"/>
    </row>
    <row r="829" ht="15" customHeight="1">
      <c r="A829" s="27"/>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9"/>
    </row>
    <row r="830" ht="15" customHeight="1">
      <c r="A830" s="27"/>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9"/>
    </row>
    <row r="831" ht="15" customHeight="1">
      <c r="A831" s="27"/>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9"/>
    </row>
    <row r="832" ht="15" customHeight="1">
      <c r="A832" s="27"/>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9"/>
    </row>
    <row r="833" ht="15" customHeight="1">
      <c r="A833" s="27"/>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9"/>
    </row>
    <row r="834" ht="15" customHeight="1">
      <c r="A834" s="27"/>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9"/>
    </row>
    <row r="835" ht="15" customHeight="1">
      <c r="A835" s="27"/>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9"/>
    </row>
    <row r="836" ht="15" customHeight="1">
      <c r="A836" s="27"/>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9"/>
    </row>
    <row r="837" ht="15" customHeight="1">
      <c r="A837" s="27"/>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9"/>
    </row>
    <row r="838" ht="15" customHeight="1">
      <c r="A838" s="27"/>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9"/>
    </row>
    <row r="839" ht="15" customHeight="1">
      <c r="A839" s="27"/>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9"/>
    </row>
    <row r="840" ht="15" customHeight="1">
      <c r="A840" s="27"/>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9"/>
    </row>
    <row r="841" ht="15" customHeight="1">
      <c r="A841" s="27"/>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9"/>
    </row>
    <row r="842" ht="15" customHeight="1">
      <c r="A842" s="27"/>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9"/>
    </row>
    <row r="843" ht="15" customHeight="1">
      <c r="A843" s="27"/>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9"/>
    </row>
    <row r="844" ht="15" customHeight="1">
      <c r="A844" s="27"/>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9"/>
    </row>
    <row r="845" ht="15" customHeight="1">
      <c r="A845" s="27"/>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9"/>
    </row>
    <row r="846" ht="15" customHeight="1">
      <c r="A846" s="27"/>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9"/>
    </row>
    <row r="847" ht="15" customHeight="1">
      <c r="A847" s="27"/>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9"/>
    </row>
    <row r="848" ht="15" customHeight="1">
      <c r="A848" s="27"/>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9"/>
    </row>
    <row r="849" ht="15" customHeight="1">
      <c r="A849" s="27"/>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9"/>
    </row>
    <row r="850" ht="15" customHeight="1">
      <c r="A850" s="27"/>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9"/>
    </row>
    <row r="851" ht="15" customHeight="1">
      <c r="A851" s="27"/>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9"/>
    </row>
    <row r="852" ht="15" customHeight="1">
      <c r="A852" s="27"/>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9"/>
    </row>
    <row r="853" ht="15" customHeight="1">
      <c r="A853" s="27"/>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9"/>
    </row>
    <row r="854" ht="15" customHeight="1">
      <c r="A854" s="27"/>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9"/>
    </row>
    <row r="855" ht="15" customHeight="1">
      <c r="A855" s="27"/>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9"/>
    </row>
    <row r="856" ht="15" customHeight="1">
      <c r="A856" s="27"/>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9"/>
    </row>
    <row r="857" ht="15" customHeight="1">
      <c r="A857" s="27"/>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9"/>
    </row>
    <row r="858" ht="15" customHeight="1">
      <c r="A858" s="27"/>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9"/>
    </row>
    <row r="859" ht="15" customHeight="1">
      <c r="A859" s="27"/>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9"/>
    </row>
    <row r="860" ht="15" customHeight="1">
      <c r="A860" s="27"/>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9"/>
    </row>
    <row r="861" ht="15" customHeight="1">
      <c r="A861" s="27"/>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9"/>
    </row>
    <row r="862" ht="15" customHeight="1">
      <c r="A862" s="27"/>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9"/>
    </row>
    <row r="863" ht="15" customHeight="1">
      <c r="A863" s="27"/>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9"/>
    </row>
    <row r="864" ht="15" customHeight="1">
      <c r="A864" s="27"/>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9"/>
    </row>
    <row r="865" ht="15" customHeight="1">
      <c r="A865" s="27"/>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9"/>
    </row>
    <row r="866" ht="15" customHeight="1">
      <c r="A866" s="27"/>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9"/>
    </row>
    <row r="867" ht="15" customHeight="1">
      <c r="A867" s="27"/>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9"/>
    </row>
    <row r="868" ht="15" customHeight="1">
      <c r="A868" s="27"/>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9"/>
    </row>
    <row r="869" ht="15" customHeight="1">
      <c r="A869" s="27"/>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9"/>
    </row>
    <row r="870" ht="15" customHeight="1">
      <c r="A870" s="27"/>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9"/>
    </row>
    <row r="871" ht="15" customHeight="1">
      <c r="A871" s="27"/>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9"/>
    </row>
    <row r="872" ht="15" customHeight="1">
      <c r="A872" s="27"/>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9"/>
    </row>
    <row r="873" ht="15" customHeight="1">
      <c r="A873" s="27"/>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9"/>
    </row>
    <row r="874" ht="15" customHeight="1">
      <c r="A874" s="27"/>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9"/>
    </row>
    <row r="875" ht="15" customHeight="1">
      <c r="A875" s="27"/>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9"/>
    </row>
    <row r="876" ht="15" customHeight="1">
      <c r="A876" s="27"/>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9"/>
    </row>
    <row r="877" ht="15" customHeight="1">
      <c r="A877" s="27"/>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9"/>
    </row>
    <row r="878" ht="15" customHeight="1">
      <c r="A878" s="27"/>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9"/>
    </row>
    <row r="879" ht="15" customHeight="1">
      <c r="A879" s="27"/>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9"/>
    </row>
    <row r="880" ht="15" customHeight="1">
      <c r="A880" s="27"/>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9"/>
    </row>
    <row r="881" ht="15" customHeight="1">
      <c r="A881" s="27"/>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9"/>
    </row>
    <row r="882" ht="15" customHeight="1">
      <c r="A882" s="27"/>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9"/>
    </row>
    <row r="883" ht="15" customHeight="1">
      <c r="A883" s="27"/>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9"/>
    </row>
    <row r="884" ht="15" customHeight="1">
      <c r="A884" s="27"/>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9"/>
    </row>
    <row r="885" ht="15" customHeight="1">
      <c r="A885" s="27"/>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9"/>
    </row>
    <row r="886" ht="15" customHeight="1">
      <c r="A886" s="27"/>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9"/>
    </row>
    <row r="887" ht="15" customHeight="1">
      <c r="A887" s="27"/>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9"/>
    </row>
    <row r="888" ht="15" customHeight="1">
      <c r="A888" s="27"/>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9"/>
    </row>
    <row r="889" ht="15" customHeight="1">
      <c r="A889" s="27"/>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9"/>
    </row>
    <row r="890" ht="15" customHeight="1">
      <c r="A890" s="27"/>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9"/>
    </row>
    <row r="891" ht="15" customHeight="1">
      <c r="A891" s="27"/>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9"/>
    </row>
    <row r="892" ht="15" customHeight="1">
      <c r="A892" s="27"/>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9"/>
    </row>
    <row r="893" ht="15" customHeight="1">
      <c r="A893" s="27"/>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9"/>
    </row>
    <row r="894" ht="15" customHeight="1">
      <c r="A894" s="27"/>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9"/>
    </row>
    <row r="895" ht="15" customHeight="1">
      <c r="A895" s="27"/>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9"/>
    </row>
    <row r="896" ht="15" customHeight="1">
      <c r="A896" s="27"/>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9"/>
    </row>
    <row r="897" ht="15" customHeight="1">
      <c r="A897" s="27"/>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9"/>
    </row>
    <row r="898" ht="15" customHeight="1">
      <c r="A898" s="27"/>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9"/>
    </row>
    <row r="899" ht="15" customHeight="1">
      <c r="A899" s="27"/>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9"/>
    </row>
    <row r="900" ht="15" customHeight="1">
      <c r="A900" s="27"/>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9"/>
    </row>
    <row r="901" ht="15" customHeight="1">
      <c r="A901" s="27"/>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9"/>
    </row>
    <row r="902" ht="15" customHeight="1">
      <c r="A902" s="27"/>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9"/>
    </row>
    <row r="903" ht="15" customHeight="1">
      <c r="A903" s="27"/>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9"/>
    </row>
    <row r="904" ht="15" customHeight="1">
      <c r="A904" s="27"/>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9"/>
    </row>
    <row r="905" ht="15" customHeight="1">
      <c r="A905" s="27"/>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9"/>
    </row>
    <row r="906" ht="15" customHeight="1">
      <c r="A906" s="27"/>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9"/>
    </row>
    <row r="907" ht="15" customHeight="1">
      <c r="A907" s="27"/>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9"/>
    </row>
    <row r="908" ht="15" customHeight="1">
      <c r="A908" s="27"/>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9"/>
    </row>
    <row r="909" ht="15" customHeight="1">
      <c r="A909" s="27"/>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9"/>
    </row>
    <row r="910" ht="15" customHeight="1">
      <c r="A910" s="27"/>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9"/>
    </row>
    <row r="911" ht="15" customHeight="1">
      <c r="A911" s="27"/>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9"/>
    </row>
    <row r="912" ht="15" customHeight="1">
      <c r="A912" s="27"/>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9"/>
    </row>
    <row r="913" ht="15" customHeight="1">
      <c r="A913" s="27"/>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9"/>
    </row>
    <row r="914" ht="15" customHeight="1">
      <c r="A914" s="27"/>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9"/>
    </row>
    <row r="915" ht="15" customHeight="1">
      <c r="A915" s="27"/>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9"/>
    </row>
    <row r="916" ht="15" customHeight="1">
      <c r="A916" s="27"/>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9"/>
    </row>
    <row r="917" ht="15" customHeight="1">
      <c r="A917" s="27"/>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9"/>
    </row>
    <row r="918" ht="15" customHeight="1">
      <c r="A918" s="27"/>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9"/>
    </row>
    <row r="919" ht="15" customHeight="1">
      <c r="A919" s="27"/>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9"/>
    </row>
    <row r="920" ht="15" customHeight="1">
      <c r="A920" s="27"/>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9"/>
    </row>
    <row r="921" ht="15" customHeight="1">
      <c r="A921" s="27"/>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9"/>
    </row>
    <row r="922" ht="15" customHeight="1">
      <c r="A922" s="27"/>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9"/>
    </row>
    <row r="923" ht="15" customHeight="1">
      <c r="A923" s="27"/>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9"/>
    </row>
    <row r="924" ht="15" customHeight="1">
      <c r="A924" s="27"/>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9"/>
    </row>
    <row r="925" ht="15" customHeight="1">
      <c r="A925" s="27"/>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9"/>
    </row>
    <row r="926" ht="15" customHeight="1">
      <c r="A926" s="27"/>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9"/>
    </row>
    <row r="927" ht="15" customHeight="1">
      <c r="A927" s="27"/>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9"/>
    </row>
    <row r="928" ht="15" customHeight="1">
      <c r="A928" s="27"/>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9"/>
    </row>
    <row r="929" ht="15" customHeight="1">
      <c r="A929" s="27"/>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9"/>
    </row>
    <row r="930" ht="15" customHeight="1">
      <c r="A930" s="27"/>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9"/>
    </row>
    <row r="931" ht="15" customHeight="1">
      <c r="A931" s="27"/>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9"/>
    </row>
    <row r="932" ht="15" customHeight="1">
      <c r="A932" s="27"/>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9"/>
    </row>
    <row r="933" ht="15" customHeight="1">
      <c r="A933" s="27"/>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9"/>
    </row>
    <row r="934" ht="15" customHeight="1">
      <c r="A934" s="27"/>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9"/>
    </row>
    <row r="935" ht="15" customHeight="1">
      <c r="A935" s="27"/>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9"/>
    </row>
    <row r="936" ht="15" customHeight="1">
      <c r="A936" s="27"/>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9"/>
    </row>
    <row r="937" ht="15" customHeight="1">
      <c r="A937" s="27"/>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9"/>
    </row>
    <row r="938" ht="15" customHeight="1">
      <c r="A938" s="27"/>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9"/>
    </row>
    <row r="939" ht="15" customHeight="1">
      <c r="A939" s="27"/>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9"/>
    </row>
    <row r="940" ht="15" customHeight="1">
      <c r="A940" s="27"/>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9"/>
    </row>
    <row r="941" ht="15" customHeight="1">
      <c r="A941" s="27"/>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9"/>
    </row>
    <row r="942" ht="15" customHeight="1">
      <c r="A942" s="27"/>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9"/>
    </row>
    <row r="943" ht="15" customHeight="1">
      <c r="A943" s="27"/>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9"/>
    </row>
    <row r="944" ht="15" customHeight="1">
      <c r="A944" s="27"/>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9"/>
    </row>
    <row r="945" ht="15" customHeight="1">
      <c r="A945" s="27"/>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9"/>
    </row>
    <row r="946" ht="15" customHeight="1">
      <c r="A946" s="27"/>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9"/>
    </row>
    <row r="947" ht="15" customHeight="1">
      <c r="A947" s="27"/>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9"/>
    </row>
    <row r="948" ht="15" customHeight="1">
      <c r="A948" s="27"/>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9"/>
    </row>
    <row r="949" ht="15" customHeight="1">
      <c r="A949" s="27"/>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9"/>
    </row>
    <row r="950" ht="15" customHeight="1">
      <c r="A950" s="27"/>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9"/>
    </row>
    <row r="951" ht="15" customHeight="1">
      <c r="A951" s="27"/>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9"/>
    </row>
    <row r="952" ht="15" customHeight="1">
      <c r="A952" s="27"/>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9"/>
    </row>
    <row r="953" ht="15" customHeight="1">
      <c r="A953" s="27"/>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9"/>
    </row>
    <row r="954" ht="15" customHeight="1">
      <c r="A954" s="27"/>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9"/>
    </row>
    <row r="955" ht="15" customHeight="1">
      <c r="A955" s="27"/>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9"/>
    </row>
    <row r="956" ht="15" customHeight="1">
      <c r="A956" s="27"/>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9"/>
    </row>
    <row r="957" ht="15" customHeight="1">
      <c r="A957" s="27"/>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9"/>
    </row>
    <row r="958" ht="15" customHeight="1">
      <c r="A958" s="27"/>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9"/>
    </row>
    <row r="959" ht="15" customHeight="1">
      <c r="A959" s="27"/>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9"/>
    </row>
    <row r="960" ht="15" customHeight="1">
      <c r="A960" s="27"/>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9"/>
    </row>
    <row r="961" ht="15" customHeight="1">
      <c r="A961" s="27"/>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9"/>
    </row>
    <row r="962" ht="15" customHeight="1">
      <c r="A962" s="27"/>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9"/>
    </row>
    <row r="963" ht="15" customHeight="1">
      <c r="A963" s="27"/>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9"/>
    </row>
    <row r="964" ht="15" customHeight="1">
      <c r="A964" s="27"/>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9"/>
    </row>
    <row r="965" ht="15" customHeight="1">
      <c r="A965" s="27"/>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9"/>
    </row>
    <row r="966" ht="15" customHeight="1">
      <c r="A966" s="27"/>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9"/>
    </row>
    <row r="967" ht="15" customHeight="1">
      <c r="A967" s="27"/>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9"/>
    </row>
    <row r="968" ht="15" customHeight="1">
      <c r="A968" s="27"/>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9"/>
    </row>
    <row r="969" ht="15" customHeight="1">
      <c r="A969" s="27"/>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9"/>
    </row>
    <row r="970" ht="15" customHeight="1">
      <c r="A970" s="27"/>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9"/>
    </row>
    <row r="971" ht="15" customHeight="1">
      <c r="A971" s="27"/>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9"/>
    </row>
    <row r="972" ht="15" customHeight="1">
      <c r="A972" s="27"/>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9"/>
    </row>
    <row r="973" ht="15" customHeight="1">
      <c r="A973" s="27"/>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9"/>
    </row>
    <row r="974" ht="15" customHeight="1">
      <c r="A974" s="27"/>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9"/>
    </row>
    <row r="975" ht="15" customHeight="1">
      <c r="A975" s="27"/>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9"/>
    </row>
    <row r="976" ht="15" customHeight="1">
      <c r="A976" s="27"/>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9"/>
    </row>
    <row r="977" ht="15" customHeight="1">
      <c r="A977" s="27"/>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9"/>
    </row>
    <row r="978" ht="15" customHeight="1">
      <c r="A978" s="27"/>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9"/>
    </row>
    <row r="979" ht="15" customHeight="1">
      <c r="A979" s="27"/>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9"/>
    </row>
    <row r="980" ht="15" customHeight="1">
      <c r="A980" s="27"/>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9"/>
    </row>
    <row r="981" ht="15" customHeight="1">
      <c r="A981" s="27"/>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9"/>
    </row>
    <row r="982" ht="15" customHeight="1">
      <c r="A982" s="27"/>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9"/>
    </row>
    <row r="983" ht="15" customHeight="1">
      <c r="A983" s="27"/>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9"/>
    </row>
    <row r="984" ht="15" customHeight="1">
      <c r="A984" s="27"/>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9"/>
    </row>
    <row r="985" ht="15" customHeight="1">
      <c r="A985" s="27"/>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9"/>
    </row>
    <row r="986" ht="15" customHeight="1">
      <c r="A986" s="27"/>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9"/>
    </row>
    <row r="987" ht="15" customHeight="1">
      <c r="A987" s="27"/>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9"/>
    </row>
    <row r="988" ht="15" customHeight="1">
      <c r="A988" s="27"/>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9"/>
    </row>
    <row r="989" ht="15" customHeight="1">
      <c r="A989" s="27"/>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9"/>
    </row>
    <row r="990" ht="15" customHeight="1">
      <c r="A990" s="27"/>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9"/>
    </row>
    <row r="991" ht="15" customHeight="1">
      <c r="A991" s="27"/>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9"/>
    </row>
    <row r="992" ht="15" customHeight="1">
      <c r="A992" s="27"/>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9"/>
    </row>
    <row r="993" ht="15" customHeight="1">
      <c r="A993" s="27"/>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9"/>
    </row>
    <row r="994" ht="15" customHeight="1">
      <c r="A994" s="27"/>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9"/>
    </row>
    <row r="995" ht="15" customHeight="1">
      <c r="A995" s="27"/>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9"/>
    </row>
    <row r="996" ht="15" customHeight="1">
      <c r="A996" s="27"/>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9"/>
    </row>
    <row r="997" ht="15" customHeight="1">
      <c r="A997" s="27"/>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9"/>
    </row>
    <row r="998" ht="15" customHeight="1">
      <c r="A998" s="27"/>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9"/>
    </row>
    <row r="999" ht="15" customHeight="1">
      <c r="A999" s="27"/>
      <c r="B999" s="18"/>
      <c r="C999" s="18"/>
      <c r="D999" s="18"/>
      <c r="E999" s="18"/>
      <c r="F999" s="18"/>
      <c r="G999" s="18"/>
      <c r="H999" s="18"/>
      <c r="I999" s="18"/>
      <c r="J999" s="18"/>
      <c r="K999" s="18"/>
      <c r="L999" s="18"/>
      <c r="M999" s="18"/>
      <c r="N999" s="18"/>
      <c r="O999" s="18"/>
      <c r="P999" s="18"/>
      <c r="Q999" s="18"/>
      <c r="R999" s="31"/>
      <c r="S999" s="18"/>
      <c r="T999" s="18"/>
      <c r="U999" s="18"/>
      <c r="V999" s="18"/>
      <c r="W999" s="18"/>
      <c r="X999" s="18"/>
      <c r="Y999" s="19"/>
    </row>
    <row r="1000" ht="15" customHeight="1">
      <c r="A1000" s="27"/>
      <c r="B1000" s="18"/>
      <c r="C1000" s="18"/>
      <c r="D1000" s="18"/>
      <c r="E1000" s="18"/>
      <c r="F1000" s="18"/>
      <c r="G1000" s="18"/>
      <c r="H1000" s="18"/>
      <c r="I1000" s="18"/>
      <c r="J1000" s="18"/>
      <c r="K1000" s="18"/>
      <c r="L1000" s="18"/>
      <c r="M1000" s="18"/>
      <c r="N1000" s="18"/>
      <c r="O1000" s="18"/>
      <c r="P1000" s="18"/>
      <c r="Q1000" s="18"/>
      <c r="R1000" s="31"/>
      <c r="S1000" s="18"/>
      <c r="T1000" s="18"/>
      <c r="U1000" s="18"/>
      <c r="V1000" s="18"/>
      <c r="W1000" s="18"/>
      <c r="X1000" s="18"/>
      <c r="Y1000" s="19"/>
    </row>
    <row r="1001" ht="15" customHeight="1">
      <c r="A1001" s="27"/>
      <c r="B1001" s="18"/>
      <c r="C1001" s="18"/>
      <c r="D1001" s="18"/>
      <c r="E1001" s="18"/>
      <c r="F1001" s="18"/>
      <c r="G1001" s="18"/>
      <c r="H1001" s="18"/>
      <c r="I1001" s="18"/>
      <c r="J1001" s="18"/>
      <c r="K1001" s="18"/>
      <c r="L1001" s="18"/>
      <c r="M1001" s="18"/>
      <c r="N1001" s="18"/>
      <c r="O1001" s="18"/>
      <c r="P1001" s="18"/>
      <c r="Q1001" s="18"/>
      <c r="R1001" s="31"/>
      <c r="S1001" s="18"/>
      <c r="T1001" s="18"/>
      <c r="U1001" s="18"/>
      <c r="V1001" s="18"/>
      <c r="W1001" s="18"/>
      <c r="X1001" s="18"/>
      <c r="Y1001" s="19"/>
    </row>
    <row r="1002" ht="15" customHeight="1">
      <c r="A1002" s="27"/>
      <c r="B1002" s="18"/>
      <c r="C1002" s="18"/>
      <c r="D1002" s="18"/>
      <c r="E1002" s="18"/>
      <c r="F1002" s="18"/>
      <c r="G1002" s="18"/>
      <c r="H1002" s="18"/>
      <c r="I1002" s="18"/>
      <c r="J1002" s="18"/>
      <c r="K1002" s="18"/>
      <c r="L1002" s="18"/>
      <c r="M1002" s="18"/>
      <c r="N1002" s="18"/>
      <c r="O1002" s="18"/>
      <c r="P1002" s="18"/>
      <c r="Q1002" s="18"/>
      <c r="R1002" s="31"/>
      <c r="S1002" s="18"/>
      <c r="T1002" s="18"/>
      <c r="U1002" s="18"/>
      <c r="V1002" s="18"/>
      <c r="W1002" s="18"/>
      <c r="X1002" s="18"/>
      <c r="Y1002" s="19"/>
    </row>
    <row r="1003" ht="15" customHeight="1">
      <c r="A1003" s="27"/>
      <c r="B1003" s="18"/>
      <c r="C1003" s="18"/>
      <c r="D1003" s="18"/>
      <c r="E1003" s="18"/>
      <c r="F1003" s="18"/>
      <c r="G1003" s="18"/>
      <c r="H1003" s="18"/>
      <c r="I1003" s="18"/>
      <c r="J1003" s="18"/>
      <c r="K1003" s="18"/>
      <c r="L1003" s="18"/>
      <c r="M1003" s="18"/>
      <c r="N1003" s="18"/>
      <c r="O1003" s="18"/>
      <c r="P1003" s="18"/>
      <c r="Q1003" s="18"/>
      <c r="R1003" s="31"/>
      <c r="S1003" s="18"/>
      <c r="T1003" s="18"/>
      <c r="U1003" s="18"/>
      <c r="V1003" s="18"/>
      <c r="W1003" s="18"/>
      <c r="X1003" s="18"/>
      <c r="Y1003" s="19"/>
    </row>
    <row r="1004" ht="15" customHeight="1">
      <c r="A1004" s="27"/>
      <c r="B1004" s="18"/>
      <c r="C1004" s="18"/>
      <c r="D1004" s="18"/>
      <c r="E1004" s="18"/>
      <c r="F1004" s="18"/>
      <c r="G1004" s="18"/>
      <c r="H1004" s="18"/>
      <c r="I1004" s="18"/>
      <c r="J1004" s="18"/>
      <c r="K1004" s="18"/>
      <c r="L1004" s="18"/>
      <c r="M1004" s="18"/>
      <c r="N1004" s="18"/>
      <c r="O1004" s="18"/>
      <c r="P1004" s="18"/>
      <c r="Q1004" s="18"/>
      <c r="R1004" s="31"/>
      <c r="S1004" s="18"/>
      <c r="T1004" s="18"/>
      <c r="U1004" s="18"/>
      <c r="V1004" s="18"/>
      <c r="W1004" s="18"/>
      <c r="X1004" s="18"/>
      <c r="Y1004" s="19"/>
    </row>
    <row r="1005" ht="15" customHeight="1">
      <c r="A1005" s="27"/>
      <c r="B1005" s="18"/>
      <c r="C1005" s="18"/>
      <c r="D1005" s="18"/>
      <c r="E1005" s="18"/>
      <c r="F1005" s="18"/>
      <c r="G1005" s="18"/>
      <c r="H1005" s="18"/>
      <c r="I1005" s="18"/>
      <c r="J1005" s="18"/>
      <c r="K1005" s="18"/>
      <c r="L1005" s="18"/>
      <c r="M1005" s="18"/>
      <c r="N1005" s="18"/>
      <c r="O1005" s="18"/>
      <c r="P1005" s="18"/>
      <c r="Q1005" s="18"/>
      <c r="R1005" s="31"/>
      <c r="S1005" s="18"/>
      <c r="T1005" s="18"/>
      <c r="U1005" s="18"/>
      <c r="V1005" s="18"/>
      <c r="W1005" s="18"/>
      <c r="X1005" s="18"/>
      <c r="Y1005" s="19"/>
    </row>
    <row r="1006" ht="15" customHeight="1">
      <c r="A1006" s="27"/>
      <c r="B1006" s="18"/>
      <c r="C1006" s="18"/>
      <c r="D1006" s="18"/>
      <c r="E1006" s="18"/>
      <c r="F1006" s="18"/>
      <c r="G1006" s="18"/>
      <c r="H1006" s="18"/>
      <c r="I1006" s="18"/>
      <c r="J1006" s="18"/>
      <c r="K1006" s="18"/>
      <c r="L1006" s="18"/>
      <c r="M1006" s="18"/>
      <c r="N1006" s="18"/>
      <c r="O1006" s="18"/>
      <c r="P1006" s="18"/>
      <c r="Q1006" s="18"/>
      <c r="R1006" s="31"/>
      <c r="S1006" s="18"/>
      <c r="T1006" s="18"/>
      <c r="U1006" s="18"/>
      <c r="V1006" s="18"/>
      <c r="W1006" s="18"/>
      <c r="X1006" s="18"/>
      <c r="Y1006" s="19"/>
    </row>
    <row r="1007" ht="15" customHeight="1">
      <c r="A1007" s="27"/>
      <c r="B1007" s="18"/>
      <c r="C1007" s="18"/>
      <c r="D1007" s="18"/>
      <c r="E1007" s="18"/>
      <c r="F1007" s="18"/>
      <c r="G1007" s="18"/>
      <c r="H1007" s="18"/>
      <c r="I1007" s="18"/>
      <c r="J1007" s="18"/>
      <c r="K1007" s="18"/>
      <c r="L1007" s="18"/>
      <c r="M1007" s="18"/>
      <c r="N1007" s="18"/>
      <c r="O1007" s="18"/>
      <c r="P1007" s="18"/>
      <c r="Q1007" s="18"/>
      <c r="R1007" s="31"/>
      <c r="S1007" s="18"/>
      <c r="T1007" s="18"/>
      <c r="U1007" s="18"/>
      <c r="V1007" s="18"/>
      <c r="W1007" s="18"/>
      <c r="X1007" s="18"/>
      <c r="Y1007" s="19"/>
    </row>
    <row r="1008" ht="15" customHeight="1">
      <c r="A1008" s="27"/>
      <c r="B1008" s="18"/>
      <c r="C1008" s="18"/>
      <c r="D1008" s="18"/>
      <c r="E1008" s="18"/>
      <c r="F1008" s="18"/>
      <c r="G1008" s="18"/>
      <c r="H1008" s="18"/>
      <c r="I1008" s="18"/>
      <c r="J1008" s="18"/>
      <c r="K1008" s="18"/>
      <c r="L1008" s="18"/>
      <c r="M1008" s="18"/>
      <c r="N1008" s="18"/>
      <c r="O1008" s="18"/>
      <c r="P1008" s="18"/>
      <c r="Q1008" s="18"/>
      <c r="R1008" s="31"/>
      <c r="S1008" s="18"/>
      <c r="T1008" s="18"/>
      <c r="U1008" s="18"/>
      <c r="V1008" s="18"/>
      <c r="W1008" s="18"/>
      <c r="X1008" s="18"/>
      <c r="Y1008" s="19"/>
    </row>
    <row r="1009" ht="15" customHeight="1">
      <c r="A1009" s="27"/>
      <c r="B1009" s="18"/>
      <c r="C1009" s="18"/>
      <c r="D1009" s="18"/>
      <c r="E1009" s="18"/>
      <c r="F1009" s="18"/>
      <c r="G1009" s="18"/>
      <c r="H1009" s="18"/>
      <c r="I1009" s="18"/>
      <c r="J1009" s="18"/>
      <c r="K1009" s="18"/>
      <c r="L1009" s="18"/>
      <c r="M1009" s="18"/>
      <c r="N1009" s="18"/>
      <c r="O1009" s="18"/>
      <c r="P1009" s="18"/>
      <c r="Q1009" s="18"/>
      <c r="R1009" s="31"/>
      <c r="S1009" s="18"/>
      <c r="T1009" s="18"/>
      <c r="U1009" s="18"/>
      <c r="V1009" s="18"/>
      <c r="W1009" s="18"/>
      <c r="X1009" s="18"/>
      <c r="Y1009" s="19"/>
    </row>
    <row r="1010" ht="15" customHeight="1">
      <c r="A1010" s="27"/>
      <c r="B1010" s="18"/>
      <c r="C1010" s="18"/>
      <c r="D1010" s="18"/>
      <c r="E1010" s="18"/>
      <c r="F1010" s="18"/>
      <c r="G1010" s="18"/>
      <c r="H1010" s="18"/>
      <c r="I1010" s="18"/>
      <c r="J1010" s="18"/>
      <c r="K1010" s="18"/>
      <c r="L1010" s="18"/>
      <c r="M1010" s="18"/>
      <c r="N1010" s="18"/>
      <c r="O1010" s="18"/>
      <c r="P1010" s="18"/>
      <c r="Q1010" s="18"/>
      <c r="R1010" s="31"/>
      <c r="S1010" s="18"/>
      <c r="T1010" s="18"/>
      <c r="U1010" s="18"/>
      <c r="V1010" s="18"/>
      <c r="W1010" s="18"/>
      <c r="X1010" s="18"/>
      <c r="Y1010" s="19"/>
    </row>
    <row r="1011" ht="15" customHeight="1">
      <c r="A1011" s="27"/>
      <c r="B1011" s="18"/>
      <c r="C1011" s="18"/>
      <c r="D1011" s="18"/>
      <c r="E1011" s="18"/>
      <c r="F1011" s="18"/>
      <c r="G1011" s="18"/>
      <c r="H1011" s="18"/>
      <c r="I1011" s="18"/>
      <c r="J1011" s="18"/>
      <c r="K1011" s="18"/>
      <c r="L1011" s="18"/>
      <c r="M1011" s="18"/>
      <c r="N1011" s="18"/>
      <c r="O1011" s="18"/>
      <c r="P1011" s="18"/>
      <c r="Q1011" s="18"/>
      <c r="R1011" s="31"/>
      <c r="S1011" s="18"/>
      <c r="T1011" s="18"/>
      <c r="U1011" s="18"/>
      <c r="V1011" s="18"/>
      <c r="W1011" s="18"/>
      <c r="X1011" s="18"/>
      <c r="Y1011" s="19"/>
    </row>
    <row r="1012" ht="15" customHeight="1">
      <c r="A1012" s="27"/>
      <c r="B1012" s="18"/>
      <c r="C1012" s="18"/>
      <c r="D1012" s="18"/>
      <c r="E1012" s="18"/>
      <c r="F1012" s="18"/>
      <c r="G1012" s="18"/>
      <c r="H1012" s="18"/>
      <c r="I1012" s="18"/>
      <c r="J1012" s="18"/>
      <c r="K1012" s="18"/>
      <c r="L1012" s="18"/>
      <c r="M1012" s="18"/>
      <c r="N1012" s="18"/>
      <c r="O1012" s="18"/>
      <c r="P1012" s="18"/>
      <c r="Q1012" s="18"/>
      <c r="R1012" s="31"/>
      <c r="S1012" s="18"/>
      <c r="T1012" s="18"/>
      <c r="U1012" s="18"/>
      <c r="V1012" s="18"/>
      <c r="W1012" s="18"/>
      <c r="X1012" s="18"/>
      <c r="Y1012" s="19"/>
    </row>
    <row r="1013" ht="15" customHeight="1">
      <c r="A1013" s="27"/>
      <c r="B1013" s="18"/>
      <c r="C1013" s="18"/>
      <c r="D1013" s="18"/>
      <c r="E1013" s="18"/>
      <c r="F1013" s="18"/>
      <c r="G1013" s="18"/>
      <c r="H1013" s="18"/>
      <c r="I1013" s="18"/>
      <c r="J1013" s="18"/>
      <c r="K1013" s="18"/>
      <c r="L1013" s="18"/>
      <c r="M1013" s="18"/>
      <c r="N1013" s="18"/>
      <c r="O1013" s="18"/>
      <c r="P1013" s="18"/>
      <c r="Q1013" s="18"/>
      <c r="R1013" s="31"/>
      <c r="S1013" s="18"/>
      <c r="T1013" s="18"/>
      <c r="U1013" s="18"/>
      <c r="V1013" s="18"/>
      <c r="W1013" s="18"/>
      <c r="X1013" s="18"/>
      <c r="Y1013" s="19"/>
    </row>
    <row r="1014" ht="15" customHeight="1">
      <c r="A1014" s="27"/>
      <c r="B1014" s="18"/>
      <c r="C1014" s="18"/>
      <c r="D1014" s="18"/>
      <c r="E1014" s="18"/>
      <c r="F1014" s="18"/>
      <c r="G1014" s="18"/>
      <c r="H1014" s="18"/>
      <c r="I1014" s="18"/>
      <c r="J1014" s="18"/>
      <c r="K1014" s="18"/>
      <c r="L1014" s="18"/>
      <c r="M1014" s="18"/>
      <c r="N1014" s="18"/>
      <c r="O1014" s="18"/>
      <c r="P1014" s="18"/>
      <c r="Q1014" s="18"/>
      <c r="R1014" s="31"/>
      <c r="S1014" s="18"/>
      <c r="T1014" s="18"/>
      <c r="U1014" s="18"/>
      <c r="V1014" s="18"/>
      <c r="W1014" s="18"/>
      <c r="X1014" s="18"/>
      <c r="Y1014" s="19"/>
    </row>
    <row r="1015" ht="15" customHeight="1">
      <c r="A1015" s="27"/>
      <c r="B1015" s="18"/>
      <c r="C1015" s="18"/>
      <c r="D1015" s="18"/>
      <c r="E1015" s="18"/>
      <c r="F1015" s="18"/>
      <c r="G1015" s="18"/>
      <c r="H1015" s="18"/>
      <c r="I1015" s="18"/>
      <c r="J1015" s="18"/>
      <c r="K1015" s="18"/>
      <c r="L1015" s="18"/>
      <c r="M1015" s="18"/>
      <c r="N1015" s="18"/>
      <c r="O1015" s="18"/>
      <c r="P1015" s="18"/>
      <c r="Q1015" s="18"/>
      <c r="R1015" s="31"/>
      <c r="S1015" s="18"/>
      <c r="T1015" s="18"/>
      <c r="U1015" s="18"/>
      <c r="V1015" s="18"/>
      <c r="W1015" s="18"/>
      <c r="X1015" s="18"/>
      <c r="Y1015" s="19"/>
    </row>
    <row r="1016" ht="15" customHeight="1">
      <c r="A1016" s="27"/>
      <c r="B1016" s="18"/>
      <c r="C1016" s="18"/>
      <c r="D1016" s="18"/>
      <c r="E1016" s="18"/>
      <c r="F1016" s="18"/>
      <c r="G1016" s="18"/>
      <c r="H1016" s="18"/>
      <c r="I1016" s="18"/>
      <c r="J1016" s="18"/>
      <c r="K1016" s="18"/>
      <c r="L1016" s="18"/>
      <c r="M1016" s="18"/>
      <c r="N1016" s="18"/>
      <c r="O1016" s="18"/>
      <c r="P1016" s="18"/>
      <c r="Q1016" s="18"/>
      <c r="R1016" s="31"/>
      <c r="S1016" s="18"/>
      <c r="T1016" s="18"/>
      <c r="U1016" s="18"/>
      <c r="V1016" s="18"/>
      <c r="W1016" s="18"/>
      <c r="X1016" s="18"/>
      <c r="Y1016" s="19"/>
    </row>
    <row r="1017" ht="15" customHeight="1">
      <c r="A1017" s="27"/>
      <c r="B1017" s="18"/>
      <c r="C1017" s="18"/>
      <c r="D1017" s="18"/>
      <c r="E1017" s="18"/>
      <c r="F1017" s="18"/>
      <c r="G1017" s="18"/>
      <c r="H1017" s="18"/>
      <c r="I1017" s="18"/>
      <c r="J1017" s="18"/>
      <c r="K1017" s="18"/>
      <c r="L1017" s="18"/>
      <c r="M1017" s="18"/>
      <c r="N1017" s="18"/>
      <c r="O1017" s="18"/>
      <c r="P1017" s="18"/>
      <c r="Q1017" s="18"/>
      <c r="R1017" s="31"/>
      <c r="S1017" s="18"/>
      <c r="T1017" s="18"/>
      <c r="U1017" s="18"/>
      <c r="V1017" s="18"/>
      <c r="W1017" s="18"/>
      <c r="X1017" s="18"/>
      <c r="Y1017" s="19"/>
    </row>
    <row r="1018" ht="15" customHeight="1">
      <c r="A1018" s="27"/>
      <c r="B1018" s="18"/>
      <c r="C1018" s="18"/>
      <c r="D1018" s="18"/>
      <c r="E1018" s="18"/>
      <c r="F1018" s="18"/>
      <c r="G1018" s="18"/>
      <c r="H1018" s="18"/>
      <c r="I1018" s="18"/>
      <c r="J1018" s="18"/>
      <c r="K1018" s="18"/>
      <c r="L1018" s="18"/>
      <c r="M1018" s="18"/>
      <c r="N1018" s="18"/>
      <c r="O1018" s="18"/>
      <c r="P1018" s="18"/>
      <c r="Q1018" s="18"/>
      <c r="R1018" s="31"/>
      <c r="S1018" s="18"/>
      <c r="T1018" s="18"/>
      <c r="U1018" s="18"/>
      <c r="V1018" s="18"/>
      <c r="W1018" s="18"/>
      <c r="X1018" s="18"/>
      <c r="Y1018" s="19"/>
    </row>
    <row r="1019" ht="15" customHeight="1">
      <c r="A1019" s="27"/>
      <c r="B1019" s="18"/>
      <c r="C1019" s="18"/>
      <c r="D1019" s="18"/>
      <c r="E1019" s="18"/>
      <c r="F1019" s="18"/>
      <c r="G1019" s="18"/>
      <c r="H1019" s="18"/>
      <c r="I1019" s="18"/>
      <c r="J1019" s="18"/>
      <c r="K1019" s="18"/>
      <c r="L1019" s="18"/>
      <c r="M1019" s="18"/>
      <c r="N1019" s="18"/>
      <c r="O1019" s="18"/>
      <c r="P1019" s="18"/>
      <c r="Q1019" s="18"/>
      <c r="R1019" s="31"/>
      <c r="S1019" s="18"/>
      <c r="T1019" s="18"/>
      <c r="U1019" s="18"/>
      <c r="V1019" s="18"/>
      <c r="W1019" s="18"/>
      <c r="X1019" s="18"/>
      <c r="Y1019" s="19"/>
    </row>
    <row r="1020" ht="15" customHeight="1">
      <c r="A1020" s="27"/>
      <c r="B1020" s="18"/>
      <c r="C1020" s="18"/>
      <c r="D1020" s="18"/>
      <c r="E1020" s="18"/>
      <c r="F1020" s="18"/>
      <c r="G1020" s="18"/>
      <c r="H1020" s="18"/>
      <c r="I1020" s="18"/>
      <c r="J1020" s="18"/>
      <c r="K1020" s="18"/>
      <c r="L1020" s="18"/>
      <c r="M1020" s="18"/>
      <c r="N1020" s="18"/>
      <c r="O1020" s="18"/>
      <c r="P1020" s="18"/>
      <c r="Q1020" s="18"/>
      <c r="R1020" s="31"/>
      <c r="S1020" s="18"/>
      <c r="T1020" s="18"/>
      <c r="U1020" s="18"/>
      <c r="V1020" s="18"/>
      <c r="W1020" s="18"/>
      <c r="X1020" s="18"/>
      <c r="Y1020" s="19"/>
    </row>
    <row r="1021" ht="15" customHeight="1">
      <c r="A1021" s="27"/>
      <c r="B1021" s="18"/>
      <c r="C1021" s="18"/>
      <c r="D1021" s="18"/>
      <c r="E1021" s="18"/>
      <c r="F1021" s="18"/>
      <c r="G1021" s="18"/>
      <c r="H1021" s="18"/>
      <c r="I1021" s="18"/>
      <c r="J1021" s="18"/>
      <c r="K1021" s="18"/>
      <c r="L1021" s="18"/>
      <c r="M1021" s="18"/>
      <c r="N1021" s="18"/>
      <c r="O1021" s="18"/>
      <c r="P1021" s="18"/>
      <c r="Q1021" s="18"/>
      <c r="R1021" s="31"/>
      <c r="S1021" s="18"/>
      <c r="T1021" s="18"/>
      <c r="U1021" s="18"/>
      <c r="V1021" s="18"/>
      <c r="W1021" s="18"/>
      <c r="X1021" s="18"/>
      <c r="Y1021" s="19"/>
    </row>
    <row r="1022" ht="15" customHeight="1">
      <c r="A1022" s="27"/>
      <c r="B1022" s="18"/>
      <c r="C1022" s="18"/>
      <c r="D1022" s="18"/>
      <c r="E1022" s="18"/>
      <c r="F1022" s="18"/>
      <c r="G1022" s="18"/>
      <c r="H1022" s="18"/>
      <c r="I1022" s="18"/>
      <c r="J1022" s="18"/>
      <c r="K1022" s="18"/>
      <c r="L1022" s="18"/>
      <c r="M1022" s="18"/>
      <c r="N1022" s="18"/>
      <c r="O1022" s="18"/>
      <c r="P1022" s="18"/>
      <c r="Q1022" s="18"/>
      <c r="R1022" s="31"/>
      <c r="S1022" s="18"/>
      <c r="T1022" s="18"/>
      <c r="U1022" s="18"/>
      <c r="V1022" s="18"/>
      <c r="W1022" s="18"/>
      <c r="X1022" s="18"/>
      <c r="Y1022" s="19"/>
    </row>
    <row r="1023" ht="15" customHeight="1">
      <c r="A1023" s="27"/>
      <c r="B1023" s="18"/>
      <c r="C1023" s="18"/>
      <c r="D1023" s="18"/>
      <c r="E1023" s="18"/>
      <c r="F1023" s="18"/>
      <c r="G1023" s="18"/>
      <c r="H1023" s="18"/>
      <c r="I1023" s="18"/>
      <c r="J1023" s="18"/>
      <c r="K1023" s="18"/>
      <c r="L1023" s="18"/>
      <c r="M1023" s="18"/>
      <c r="N1023" s="18"/>
      <c r="O1023" s="18"/>
      <c r="P1023" s="18"/>
      <c r="Q1023" s="18"/>
      <c r="R1023" s="31"/>
      <c r="S1023" s="18"/>
      <c r="T1023" s="18"/>
      <c r="U1023" s="18"/>
      <c r="V1023" s="18"/>
      <c r="W1023" s="18"/>
      <c r="X1023" s="18"/>
      <c r="Y1023" s="19"/>
    </row>
    <row r="1024" ht="15" customHeight="1">
      <c r="A1024" s="103"/>
      <c r="B1024" s="18"/>
      <c r="C1024" s="31"/>
      <c r="D1024" s="18"/>
      <c r="E1024" s="18"/>
      <c r="F1024" s="18"/>
      <c r="G1024" s="18"/>
      <c r="H1024" s="18"/>
      <c r="I1024" s="18"/>
      <c r="J1024" s="18"/>
      <c r="K1024" s="18"/>
      <c r="L1024" s="18"/>
      <c r="M1024" s="18"/>
      <c r="N1024" s="18"/>
      <c r="O1024" s="18"/>
      <c r="P1024" s="31"/>
      <c r="Q1024" s="18"/>
      <c r="R1024" s="31"/>
      <c r="S1024" s="31"/>
      <c r="T1024" s="31"/>
      <c r="U1024" s="31"/>
      <c r="V1024" s="31"/>
      <c r="W1024" s="31"/>
      <c r="X1024" s="31"/>
      <c r="Y1024" s="45"/>
    </row>
    <row r="1025" ht="15" customHeight="1">
      <c r="A1025" s="103"/>
      <c r="B1025" s="18"/>
      <c r="C1025" s="31"/>
      <c r="D1025" s="18"/>
      <c r="E1025" s="18"/>
      <c r="F1025" s="18"/>
      <c r="G1025" s="18"/>
      <c r="H1025" s="18"/>
      <c r="I1025" s="18"/>
      <c r="J1025" s="18"/>
      <c r="K1025" s="18"/>
      <c r="L1025" s="18"/>
      <c r="M1025" s="18"/>
      <c r="N1025" s="18"/>
      <c r="O1025" s="18"/>
      <c r="P1025" s="31"/>
      <c r="Q1025" s="18"/>
      <c r="R1025" s="31"/>
      <c r="S1025" s="31"/>
      <c r="T1025" s="31"/>
      <c r="U1025" s="31"/>
      <c r="V1025" s="31"/>
      <c r="W1025" s="31"/>
      <c r="X1025" s="31"/>
      <c r="Y1025" s="45"/>
    </row>
    <row r="1026" ht="15" customHeight="1">
      <c r="A1026" s="103"/>
      <c r="B1026" s="18"/>
      <c r="C1026" s="31"/>
      <c r="D1026" s="18"/>
      <c r="E1026" s="18"/>
      <c r="F1026" s="18"/>
      <c r="G1026" s="18"/>
      <c r="H1026" s="18"/>
      <c r="I1026" s="18"/>
      <c r="J1026" s="18"/>
      <c r="K1026" s="18"/>
      <c r="L1026" s="18"/>
      <c r="M1026" s="18"/>
      <c r="N1026" s="18"/>
      <c r="O1026" s="18"/>
      <c r="P1026" s="31"/>
      <c r="Q1026" s="18"/>
      <c r="R1026" s="31"/>
      <c r="S1026" s="31"/>
      <c r="T1026" s="31"/>
      <c r="U1026" s="31"/>
      <c r="V1026" s="31"/>
      <c r="W1026" s="31"/>
      <c r="X1026" s="31"/>
      <c r="Y1026" s="45"/>
    </row>
    <row r="1027" ht="15" customHeight="1">
      <c r="A1027" s="103"/>
      <c r="B1027" s="18"/>
      <c r="C1027" s="31"/>
      <c r="D1027" s="18"/>
      <c r="E1027" s="18"/>
      <c r="F1027" s="18"/>
      <c r="G1027" s="18"/>
      <c r="H1027" s="18"/>
      <c r="I1027" s="18"/>
      <c r="J1027" s="18"/>
      <c r="K1027" s="18"/>
      <c r="L1027" s="18"/>
      <c r="M1027" s="18"/>
      <c r="N1027" s="18"/>
      <c r="O1027" s="18"/>
      <c r="P1027" s="31"/>
      <c r="Q1027" s="18"/>
      <c r="R1027" s="31"/>
      <c r="S1027" s="31"/>
      <c r="T1027" s="31"/>
      <c r="U1027" s="31"/>
      <c r="V1027" s="31"/>
      <c r="W1027" s="31"/>
      <c r="X1027" s="31"/>
      <c r="Y1027" s="45"/>
    </row>
    <row r="1028" ht="15" customHeight="1">
      <c r="A1028" s="103"/>
      <c r="B1028" s="18"/>
      <c r="C1028" s="31"/>
      <c r="D1028" s="18"/>
      <c r="E1028" s="18"/>
      <c r="F1028" s="18"/>
      <c r="G1028" s="18"/>
      <c r="H1028" s="18"/>
      <c r="I1028" s="18"/>
      <c r="J1028" s="18"/>
      <c r="K1028" s="18"/>
      <c r="L1028" s="18"/>
      <c r="M1028" s="18"/>
      <c r="N1028" s="18"/>
      <c r="O1028" s="18"/>
      <c r="P1028" s="31"/>
      <c r="Q1028" s="18"/>
      <c r="R1028" s="31"/>
      <c r="S1028" s="31"/>
      <c r="T1028" s="31"/>
      <c r="U1028" s="31"/>
      <c r="V1028" s="31"/>
      <c r="W1028" s="31"/>
      <c r="X1028" s="31"/>
      <c r="Y1028" s="45"/>
    </row>
    <row r="1029" ht="15" customHeight="1">
      <c r="A1029" s="103"/>
      <c r="B1029" s="18"/>
      <c r="C1029" s="31"/>
      <c r="D1029" s="18"/>
      <c r="E1029" s="18"/>
      <c r="F1029" s="18"/>
      <c r="G1029" s="18"/>
      <c r="H1029" s="18"/>
      <c r="I1029" s="18"/>
      <c r="J1029" s="18"/>
      <c r="K1029" s="18"/>
      <c r="L1029" s="18"/>
      <c r="M1029" s="18"/>
      <c r="N1029" s="18"/>
      <c r="O1029" s="18"/>
      <c r="P1029" s="31"/>
      <c r="Q1029" s="18"/>
      <c r="R1029" s="31"/>
      <c r="S1029" s="31"/>
      <c r="T1029" s="31"/>
      <c r="U1029" s="31"/>
      <c r="V1029" s="31"/>
      <c r="W1029" s="31"/>
      <c r="X1029" s="31"/>
      <c r="Y1029" s="45"/>
    </row>
    <row r="1030" ht="15" customHeight="1">
      <c r="A1030" s="103"/>
      <c r="B1030" s="18"/>
      <c r="C1030" s="31"/>
      <c r="D1030" s="18"/>
      <c r="E1030" s="18"/>
      <c r="F1030" s="18"/>
      <c r="G1030" s="18"/>
      <c r="H1030" s="18"/>
      <c r="I1030" s="18"/>
      <c r="J1030" s="18"/>
      <c r="K1030" s="18"/>
      <c r="L1030" s="18"/>
      <c r="M1030" s="18"/>
      <c r="N1030" s="18"/>
      <c r="O1030" s="18"/>
      <c r="P1030" s="31"/>
      <c r="Q1030" s="18"/>
      <c r="R1030" s="31"/>
      <c r="S1030" s="31"/>
      <c r="T1030" s="31"/>
      <c r="U1030" s="31"/>
      <c r="V1030" s="31"/>
      <c r="W1030" s="31"/>
      <c r="X1030" s="31"/>
      <c r="Y1030" s="45"/>
    </row>
    <row r="1031" ht="15" customHeight="1">
      <c r="A1031" s="103"/>
      <c r="B1031" s="18"/>
      <c r="C1031" s="31"/>
      <c r="D1031" s="18"/>
      <c r="E1031" s="18"/>
      <c r="F1031" s="18"/>
      <c r="G1031" s="18"/>
      <c r="H1031" s="18"/>
      <c r="I1031" s="18"/>
      <c r="J1031" s="18"/>
      <c r="K1031" s="18"/>
      <c r="L1031" s="18"/>
      <c r="M1031" s="18"/>
      <c r="N1031" s="18"/>
      <c r="O1031" s="18"/>
      <c r="P1031" s="31"/>
      <c r="Q1031" s="18"/>
      <c r="R1031" s="31"/>
      <c r="S1031" s="31"/>
      <c r="T1031" s="31"/>
      <c r="U1031" s="31"/>
      <c r="V1031" s="31"/>
      <c r="W1031" s="31"/>
      <c r="X1031" s="31"/>
      <c r="Y1031" s="45"/>
    </row>
    <row r="1032" ht="15" customHeight="1">
      <c r="A1032" s="103"/>
      <c r="B1032" s="18"/>
      <c r="C1032" s="31"/>
      <c r="D1032" s="18"/>
      <c r="E1032" s="18"/>
      <c r="F1032" s="18"/>
      <c r="G1032" s="18"/>
      <c r="H1032" s="18"/>
      <c r="I1032" s="18"/>
      <c r="J1032" s="18"/>
      <c r="K1032" s="18"/>
      <c r="L1032" s="18"/>
      <c r="M1032" s="18"/>
      <c r="N1032" s="18"/>
      <c r="O1032" s="18"/>
      <c r="P1032" s="31"/>
      <c r="Q1032" s="18"/>
      <c r="R1032" s="31"/>
      <c r="S1032" s="31"/>
      <c r="T1032" s="31"/>
      <c r="U1032" s="31"/>
      <c r="V1032" s="31"/>
      <c r="W1032" s="31"/>
      <c r="X1032" s="31"/>
      <c r="Y1032" s="45"/>
    </row>
    <row r="1033" ht="15" customHeight="1">
      <c r="A1033" s="103"/>
      <c r="B1033" s="18"/>
      <c r="C1033" s="31"/>
      <c r="D1033" s="18"/>
      <c r="E1033" s="18"/>
      <c r="F1033" s="18"/>
      <c r="G1033" s="18"/>
      <c r="H1033" s="18"/>
      <c r="I1033" s="18"/>
      <c r="J1033" s="18"/>
      <c r="K1033" s="18"/>
      <c r="L1033" s="18"/>
      <c r="M1033" s="18"/>
      <c r="N1033" s="18"/>
      <c r="O1033" s="18"/>
      <c r="P1033" s="31"/>
      <c r="Q1033" s="18"/>
      <c r="R1033" s="31"/>
      <c r="S1033" s="31"/>
      <c r="T1033" s="31"/>
      <c r="U1033" s="31"/>
      <c r="V1033" s="31"/>
      <c r="W1033" s="31"/>
      <c r="X1033" s="31"/>
      <c r="Y1033" s="45"/>
    </row>
    <row r="1034" ht="15" customHeight="1">
      <c r="A1034" s="103"/>
      <c r="B1034" s="18"/>
      <c r="C1034" s="31"/>
      <c r="D1034" s="18"/>
      <c r="E1034" s="18"/>
      <c r="F1034" s="18"/>
      <c r="G1034" s="18"/>
      <c r="H1034" s="18"/>
      <c r="I1034" s="18"/>
      <c r="J1034" s="18"/>
      <c r="K1034" s="18"/>
      <c r="L1034" s="18"/>
      <c r="M1034" s="18"/>
      <c r="N1034" s="18"/>
      <c r="O1034" s="18"/>
      <c r="P1034" s="31"/>
      <c r="Q1034" s="18"/>
      <c r="R1034" s="31"/>
      <c r="S1034" s="31"/>
      <c r="T1034" s="31"/>
      <c r="U1034" s="31"/>
      <c r="V1034" s="31"/>
      <c r="W1034" s="31"/>
      <c r="X1034" s="31"/>
      <c r="Y1034" s="45"/>
    </row>
    <row r="1035" ht="15" customHeight="1">
      <c r="A1035" s="103"/>
      <c r="B1035" s="18"/>
      <c r="C1035" s="31"/>
      <c r="D1035" s="18"/>
      <c r="E1035" s="18"/>
      <c r="F1035" s="18"/>
      <c r="G1035" s="18"/>
      <c r="H1035" s="18"/>
      <c r="I1035" s="18"/>
      <c r="J1035" s="18"/>
      <c r="K1035" s="18"/>
      <c r="L1035" s="18"/>
      <c r="M1035" s="18"/>
      <c r="N1035" s="18"/>
      <c r="O1035" s="18"/>
      <c r="P1035" s="31"/>
      <c r="Q1035" s="18"/>
      <c r="R1035" s="31"/>
      <c r="S1035" s="31"/>
      <c r="T1035" s="31"/>
      <c r="U1035" s="31"/>
      <c r="V1035" s="31"/>
      <c r="W1035" s="31"/>
      <c r="X1035" s="31"/>
      <c r="Y1035" s="45"/>
    </row>
    <row r="1036" ht="15" customHeight="1">
      <c r="A1036" s="103"/>
      <c r="B1036" s="18"/>
      <c r="C1036" s="31"/>
      <c r="D1036" s="18"/>
      <c r="E1036" s="18"/>
      <c r="F1036" s="18"/>
      <c r="G1036" s="18"/>
      <c r="H1036" s="18"/>
      <c r="I1036" s="18"/>
      <c r="J1036" s="18"/>
      <c r="K1036" s="18"/>
      <c r="L1036" s="18"/>
      <c r="M1036" s="18"/>
      <c r="N1036" s="18"/>
      <c r="O1036" s="18"/>
      <c r="P1036" s="31"/>
      <c r="Q1036" s="18"/>
      <c r="R1036" s="31"/>
      <c r="S1036" s="31"/>
      <c r="T1036" s="31"/>
      <c r="U1036" s="31"/>
      <c r="V1036" s="31"/>
      <c r="W1036" s="31"/>
      <c r="X1036" s="31"/>
      <c r="Y1036" s="45"/>
    </row>
    <row r="1037" ht="15" customHeight="1">
      <c r="A1037" s="103"/>
      <c r="B1037" s="18"/>
      <c r="C1037" s="31"/>
      <c r="D1037" s="18"/>
      <c r="E1037" s="18"/>
      <c r="F1037" s="18"/>
      <c r="G1037" s="18"/>
      <c r="H1037" s="18"/>
      <c r="I1037" s="18"/>
      <c r="J1037" s="18"/>
      <c r="K1037" s="18"/>
      <c r="L1037" s="18"/>
      <c r="M1037" s="18"/>
      <c r="N1037" s="18"/>
      <c r="O1037" s="18"/>
      <c r="P1037" s="31"/>
      <c r="Q1037" s="18"/>
      <c r="R1037" s="31"/>
      <c r="S1037" s="31"/>
      <c r="T1037" s="31"/>
      <c r="U1037" s="31"/>
      <c r="V1037" s="31"/>
      <c r="W1037" s="31"/>
      <c r="X1037" s="31"/>
      <c r="Y1037" s="45"/>
    </row>
    <row r="1038" ht="15" customHeight="1">
      <c r="A1038" s="103"/>
      <c r="B1038" s="18"/>
      <c r="C1038" s="31"/>
      <c r="D1038" s="18"/>
      <c r="E1038" s="18"/>
      <c r="F1038" s="18"/>
      <c r="G1038" s="18"/>
      <c r="H1038" s="18"/>
      <c r="I1038" s="18"/>
      <c r="J1038" s="18"/>
      <c r="K1038" s="18"/>
      <c r="L1038" s="18"/>
      <c r="M1038" s="18"/>
      <c r="N1038" s="18"/>
      <c r="O1038" s="18"/>
      <c r="P1038" s="31"/>
      <c r="Q1038" s="18"/>
      <c r="R1038" s="31"/>
      <c r="S1038" s="31"/>
      <c r="T1038" s="31"/>
      <c r="U1038" s="31"/>
      <c r="V1038" s="31"/>
      <c r="W1038" s="31"/>
      <c r="X1038" s="31"/>
      <c r="Y1038" s="45"/>
    </row>
    <row r="1039" ht="15" customHeight="1">
      <c r="A1039" s="103"/>
      <c r="B1039" s="18"/>
      <c r="C1039" s="31"/>
      <c r="D1039" s="18"/>
      <c r="E1039" s="18"/>
      <c r="F1039" s="18"/>
      <c r="G1039" s="18"/>
      <c r="H1039" s="18"/>
      <c r="I1039" s="18"/>
      <c r="J1039" s="18"/>
      <c r="K1039" s="18"/>
      <c r="L1039" s="18"/>
      <c r="M1039" s="18"/>
      <c r="N1039" s="18"/>
      <c r="O1039" s="18"/>
      <c r="P1039" s="31"/>
      <c r="Q1039" s="18"/>
      <c r="R1039" s="31"/>
      <c r="S1039" s="31"/>
      <c r="T1039" s="31"/>
      <c r="U1039" s="31"/>
      <c r="V1039" s="31"/>
      <c r="W1039" s="31"/>
      <c r="X1039" s="31"/>
      <c r="Y1039" s="45"/>
    </row>
    <row r="1040" ht="15" customHeight="1">
      <c r="A1040" s="103"/>
      <c r="B1040" s="18"/>
      <c r="C1040" s="31"/>
      <c r="D1040" s="18"/>
      <c r="E1040" s="18"/>
      <c r="F1040" s="18"/>
      <c r="G1040" s="18"/>
      <c r="H1040" s="18"/>
      <c r="I1040" s="18"/>
      <c r="J1040" s="18"/>
      <c r="K1040" s="18"/>
      <c r="L1040" s="18"/>
      <c r="M1040" s="18"/>
      <c r="N1040" s="18"/>
      <c r="O1040" s="18"/>
      <c r="P1040" s="31"/>
      <c r="Q1040" s="18"/>
      <c r="R1040" s="31"/>
      <c r="S1040" s="31"/>
      <c r="T1040" s="31"/>
      <c r="U1040" s="31"/>
      <c r="V1040" s="31"/>
      <c r="W1040" s="31"/>
      <c r="X1040" s="31"/>
      <c r="Y1040" s="45"/>
    </row>
    <row r="1041" ht="15" customHeight="1">
      <c r="A1041" s="103"/>
      <c r="B1041" s="18"/>
      <c r="C1041" s="31"/>
      <c r="D1041" s="18"/>
      <c r="E1041" s="18"/>
      <c r="F1041" s="18"/>
      <c r="G1041" s="18"/>
      <c r="H1041" s="18"/>
      <c r="I1041" s="18"/>
      <c r="J1041" s="18"/>
      <c r="K1041" s="18"/>
      <c r="L1041" s="18"/>
      <c r="M1041" s="18"/>
      <c r="N1041" s="18"/>
      <c r="O1041" s="18"/>
      <c r="P1041" s="31"/>
      <c r="Q1041" s="18"/>
      <c r="R1041" s="31"/>
      <c r="S1041" s="31"/>
      <c r="T1041" s="31"/>
      <c r="U1041" s="31"/>
      <c r="V1041" s="31"/>
      <c r="W1041" s="31"/>
      <c r="X1041" s="31"/>
      <c r="Y1041" s="45"/>
    </row>
    <row r="1042" ht="15" customHeight="1">
      <c r="A1042" s="103"/>
      <c r="B1042" s="18"/>
      <c r="C1042" s="31"/>
      <c r="D1042" s="18"/>
      <c r="E1042" s="18"/>
      <c r="F1042" s="18"/>
      <c r="G1042" s="18"/>
      <c r="H1042" s="18"/>
      <c r="I1042" s="18"/>
      <c r="J1042" s="18"/>
      <c r="K1042" s="18"/>
      <c r="L1042" s="18"/>
      <c r="M1042" s="18"/>
      <c r="N1042" s="18"/>
      <c r="O1042" s="18"/>
      <c r="P1042" s="31"/>
      <c r="Q1042" s="18"/>
      <c r="R1042" s="31"/>
      <c r="S1042" s="31"/>
      <c r="T1042" s="31"/>
      <c r="U1042" s="31"/>
      <c r="V1042" s="31"/>
      <c r="W1042" s="31"/>
      <c r="X1042" s="31"/>
      <c r="Y1042" s="45"/>
    </row>
    <row r="1043" ht="15" customHeight="1">
      <c r="A1043" s="103"/>
      <c r="B1043" s="18"/>
      <c r="C1043" s="31"/>
      <c r="D1043" s="18"/>
      <c r="E1043" s="18"/>
      <c r="F1043" s="18"/>
      <c r="G1043" s="18"/>
      <c r="H1043" s="18"/>
      <c r="I1043" s="18"/>
      <c r="J1043" s="18"/>
      <c r="K1043" s="18"/>
      <c r="L1043" s="18"/>
      <c r="M1043" s="18"/>
      <c r="N1043" s="18"/>
      <c r="O1043" s="18"/>
      <c r="P1043" s="31"/>
      <c r="Q1043" s="18"/>
      <c r="R1043" s="31"/>
      <c r="S1043" s="31"/>
      <c r="T1043" s="31"/>
      <c r="U1043" s="31"/>
      <c r="V1043" s="31"/>
      <c r="W1043" s="31"/>
      <c r="X1043" s="31"/>
      <c r="Y1043" s="45"/>
    </row>
    <row r="1044" ht="15" customHeight="1">
      <c r="A1044" s="103"/>
      <c r="B1044" s="18"/>
      <c r="C1044" s="31"/>
      <c r="D1044" s="18"/>
      <c r="E1044" s="18"/>
      <c r="F1044" s="18"/>
      <c r="G1044" s="18"/>
      <c r="H1044" s="18"/>
      <c r="I1044" s="18"/>
      <c r="J1044" s="18"/>
      <c r="K1044" s="18"/>
      <c r="L1044" s="18"/>
      <c r="M1044" s="18"/>
      <c r="N1044" s="18"/>
      <c r="O1044" s="18"/>
      <c r="P1044" s="31"/>
      <c r="Q1044" s="18"/>
      <c r="R1044" s="31"/>
      <c r="S1044" s="31"/>
      <c r="T1044" s="31"/>
      <c r="U1044" s="31"/>
      <c r="V1044" s="31"/>
      <c r="W1044" s="31"/>
      <c r="X1044" s="31"/>
      <c r="Y1044" s="45"/>
    </row>
    <row r="1045" ht="15" customHeight="1">
      <c r="A1045" s="104"/>
      <c r="B1045" s="105"/>
      <c r="C1045" s="106"/>
      <c r="D1045" s="105"/>
      <c r="E1045" s="105"/>
      <c r="F1045" s="105"/>
      <c r="G1045" s="105"/>
      <c r="H1045" s="105"/>
      <c r="I1045" s="105"/>
      <c r="J1045" s="105"/>
      <c r="K1045" s="105"/>
      <c r="L1045" s="105"/>
      <c r="M1045" s="105"/>
      <c r="N1045" s="105"/>
      <c r="O1045" s="105"/>
      <c r="P1045" s="106"/>
      <c r="Q1045" s="105"/>
      <c r="R1045" s="106"/>
      <c r="S1045" s="106"/>
      <c r="T1045" s="106"/>
      <c r="U1045" s="106"/>
      <c r="V1045" s="106"/>
      <c r="W1045" s="106"/>
      <c r="X1045" s="106"/>
      <c r="Y1045" s="107"/>
    </row>
  </sheetData>
  <mergeCells count="4">
    <mergeCell ref="B2:C2"/>
    <mergeCell ref="B3:C3"/>
    <mergeCell ref="B5:C5"/>
    <mergeCell ref="B6:C6"/>
  </mergeCells>
  <conditionalFormatting sqref="D9:O11 Q9:Q11 D15:O21 Q15:Q21 D25:O31 Q25:Q31 D34:O37 Q34:Q37 D39:O40 Q39:Q41 C41:O41 D42:O69 Q43:Q59 Q61:Q67 Q69:Q76 D70:O107 Q78:Q97 Q99:Q105 Q107:Q113 D108:O113">
    <cfRule type="cellIs" dxfId="0" priority="1" operator="lessThan" stopIfTrue="1">
      <formula>0</formula>
    </cfRule>
  </conditionalFormatting>
  <pageMargins left="0.3" right="0.3" top="0.3" bottom="0.3" header="0" footer="0"/>
  <pageSetup firstPageNumber="1" fitToHeight="1" fitToWidth="1" scale="100" useFirstPageNumber="0" orientation="landscape" pageOrder="downThenOver"/>
  <headerFooter>
    <oddFooter>&amp;C&amp;"Helvetica Neue,Regular"&amp;11&amp;K000000&amp;P</oddFooter>
  </headerFooter>
  <drawing r:id="rId1"/>
</worksheet>
</file>

<file path=xl/worksheets/sheet3.xml><?xml version="1.0" encoding="utf-8"?>
<worksheet xmlns:r="http://schemas.openxmlformats.org/officeDocument/2006/relationships" xmlns="http://schemas.openxmlformats.org/spreadsheetml/2006/main">
  <sheetPr>
    <pageSetUpPr fitToPage="1"/>
  </sheetPr>
  <dimension ref="A1:Y1043"/>
  <sheetViews>
    <sheetView workbookViewId="0" showGridLines="0" defaultGridColor="1"/>
  </sheetViews>
  <sheetFormatPr defaultColWidth="14.5" defaultRowHeight="15.4" customHeight="1" outlineLevelRow="0" outlineLevelCol="0"/>
  <cols>
    <col min="1" max="1" width="3.35156" style="108" customWidth="1"/>
    <col min="2" max="2" width="35.8516" style="108" customWidth="1"/>
    <col min="3" max="3" width="20.6406" style="108" customWidth="1"/>
    <col min="4" max="15" width="11.8516" style="108" customWidth="1"/>
    <col min="16" max="16" width="2.35156" style="108" customWidth="1"/>
    <col min="17" max="17" width="13.8516" style="108" customWidth="1"/>
    <col min="18" max="18" width="3.35156" style="108" customWidth="1"/>
    <col min="19" max="25" width="28.6719" style="108" customWidth="1"/>
    <col min="26" max="16384" width="14.5" style="108" customWidth="1"/>
  </cols>
  <sheetData>
    <row r="1" ht="45" customHeight="1">
      <c r="A1" s="7"/>
      <c r="B1" t="s" s="8">
        <v>7</v>
      </c>
      <c r="C1" s="9"/>
      <c r="D1" s="10"/>
      <c r="E1" s="10"/>
      <c r="F1" s="10"/>
      <c r="G1" s="10"/>
      <c r="H1" s="10"/>
      <c r="I1" s="10"/>
      <c r="J1" s="10"/>
      <c r="K1" s="10"/>
      <c r="L1" s="10"/>
      <c r="M1" s="10"/>
      <c r="N1" s="10"/>
      <c r="O1" s="10"/>
      <c r="P1" s="10"/>
      <c r="Q1" s="10"/>
      <c r="R1" s="10"/>
      <c r="S1" s="11"/>
      <c r="T1" s="11"/>
      <c r="U1" s="11"/>
      <c r="V1" s="11"/>
      <c r="W1" s="11"/>
      <c r="X1" s="11"/>
      <c r="Y1" s="12"/>
    </row>
    <row r="2" ht="22" customHeight="1">
      <c r="A2" s="13"/>
      <c r="B2" t="s" s="14">
        <v>8</v>
      </c>
      <c r="C2" s="15"/>
      <c r="D2" s="16"/>
      <c r="E2" s="17"/>
      <c r="F2" s="17"/>
      <c r="G2" s="17"/>
      <c r="H2" s="17"/>
      <c r="I2" s="17"/>
      <c r="J2" s="17"/>
      <c r="K2" s="17"/>
      <c r="L2" s="17"/>
      <c r="M2" s="17"/>
      <c r="N2" s="17"/>
      <c r="O2" s="17"/>
      <c r="P2" s="17"/>
      <c r="Q2" s="17"/>
      <c r="R2" s="18"/>
      <c r="S2" s="18"/>
      <c r="T2" s="18"/>
      <c r="U2" s="18"/>
      <c r="V2" s="18"/>
      <c r="W2" s="18"/>
      <c r="X2" s="18"/>
      <c r="Y2" s="19"/>
    </row>
    <row r="3" ht="35" customHeight="1">
      <c r="A3" s="20"/>
      <c r="B3" t="s" s="21">
        <v>101</v>
      </c>
      <c r="C3" s="22"/>
      <c r="D3" s="23"/>
      <c r="E3" s="24"/>
      <c r="F3" s="24"/>
      <c r="G3" s="24"/>
      <c r="H3" s="24"/>
      <c r="I3" s="24"/>
      <c r="J3" s="24"/>
      <c r="K3" s="24"/>
      <c r="L3" s="24"/>
      <c r="M3" s="24"/>
      <c r="N3" s="24"/>
      <c r="O3" s="24"/>
      <c r="P3" s="24"/>
      <c r="Q3" s="24"/>
      <c r="R3" s="25"/>
      <c r="S3" s="25"/>
      <c r="T3" s="25"/>
      <c r="U3" s="25"/>
      <c r="V3" s="25"/>
      <c r="W3" s="25"/>
      <c r="X3" s="25"/>
      <c r="Y3" s="26"/>
    </row>
    <row r="4" ht="15" customHeight="1">
      <c r="A4" s="27"/>
      <c r="B4" s="28"/>
      <c r="C4" s="29"/>
      <c r="D4" s="30"/>
      <c r="E4" s="30"/>
      <c r="F4" s="30"/>
      <c r="G4" s="30"/>
      <c r="H4" s="30"/>
      <c r="I4" s="30"/>
      <c r="J4" s="30"/>
      <c r="K4" s="30"/>
      <c r="L4" s="30"/>
      <c r="M4" s="30"/>
      <c r="N4" s="30"/>
      <c r="O4" s="30"/>
      <c r="P4" s="30"/>
      <c r="Q4" s="30"/>
      <c r="R4" s="31"/>
      <c r="S4" s="18"/>
      <c r="T4" s="18"/>
      <c r="U4" s="18"/>
      <c r="V4" s="18"/>
      <c r="W4" s="18"/>
      <c r="X4" s="18"/>
      <c r="Y4" s="19"/>
    </row>
    <row r="5" ht="22" customHeight="1">
      <c r="A5" s="13"/>
      <c r="B5" t="s" s="14">
        <v>10</v>
      </c>
      <c r="C5" s="15"/>
      <c r="D5" s="16"/>
      <c r="E5" s="17"/>
      <c r="F5" s="17"/>
      <c r="G5" s="17"/>
      <c r="H5" s="17"/>
      <c r="I5" s="17"/>
      <c r="J5" s="17"/>
      <c r="K5" s="17"/>
      <c r="L5" s="17"/>
      <c r="M5" s="17"/>
      <c r="N5" s="17"/>
      <c r="O5" s="17"/>
      <c r="P5" s="17"/>
      <c r="Q5" s="17"/>
      <c r="R5" s="18"/>
      <c r="S5" s="18"/>
      <c r="T5" s="18"/>
      <c r="U5" s="18"/>
      <c r="V5" s="18"/>
      <c r="W5" s="18"/>
      <c r="X5" s="18"/>
      <c r="Y5" s="19"/>
    </row>
    <row r="6" ht="35" customHeight="1">
      <c r="A6" s="20"/>
      <c r="B6" s="109">
        <v>45473</v>
      </c>
      <c r="C6" s="22"/>
      <c r="D6" s="23"/>
      <c r="E6" s="24"/>
      <c r="F6" s="24"/>
      <c r="G6" s="24"/>
      <c r="H6" s="24"/>
      <c r="I6" s="24"/>
      <c r="J6" s="24"/>
      <c r="K6" s="24"/>
      <c r="L6" s="24"/>
      <c r="M6" s="24"/>
      <c r="N6" s="24"/>
      <c r="O6" s="24"/>
      <c r="P6" s="24"/>
      <c r="Q6" s="24"/>
      <c r="R6" s="25"/>
      <c r="S6" s="25"/>
      <c r="T6" s="25"/>
      <c r="U6" s="25"/>
      <c r="V6" s="25"/>
      <c r="W6" s="25"/>
      <c r="X6" s="25"/>
      <c r="Y6" s="26"/>
    </row>
    <row r="7" ht="15" customHeight="1">
      <c r="A7" s="27"/>
      <c r="B7" s="33"/>
      <c r="C7" s="29"/>
      <c r="D7" s="34"/>
      <c r="E7" s="34"/>
      <c r="F7" s="34"/>
      <c r="G7" s="34"/>
      <c r="H7" s="34"/>
      <c r="I7" s="34"/>
      <c r="J7" s="34"/>
      <c r="K7" s="34"/>
      <c r="L7" s="34"/>
      <c r="M7" s="34"/>
      <c r="N7" s="34"/>
      <c r="O7" s="34"/>
      <c r="P7" s="30"/>
      <c r="Q7" s="34"/>
      <c r="R7" s="31"/>
      <c r="S7" s="18"/>
      <c r="T7" s="18"/>
      <c r="U7" s="18"/>
      <c r="V7" s="18"/>
      <c r="W7" s="18"/>
      <c r="X7" s="18"/>
      <c r="Y7" s="19"/>
    </row>
    <row r="8" ht="20" customHeight="1">
      <c r="A8" s="35"/>
      <c r="B8" s="36"/>
      <c r="C8" t="s" s="37">
        <v>11</v>
      </c>
      <c r="D8" t="s" s="37">
        <v>12</v>
      </c>
      <c r="E8" t="s" s="37">
        <v>13</v>
      </c>
      <c r="F8" t="s" s="37">
        <v>14</v>
      </c>
      <c r="G8" t="s" s="37">
        <v>15</v>
      </c>
      <c r="H8" t="s" s="37">
        <v>16</v>
      </c>
      <c r="I8" t="s" s="37">
        <v>17</v>
      </c>
      <c r="J8" t="s" s="37">
        <v>18</v>
      </c>
      <c r="K8" t="s" s="37">
        <v>19</v>
      </c>
      <c r="L8" t="s" s="37">
        <v>20</v>
      </c>
      <c r="M8" t="s" s="37">
        <v>21</v>
      </c>
      <c r="N8" t="s" s="37">
        <v>22</v>
      </c>
      <c r="O8" t="s" s="37">
        <v>23</v>
      </c>
      <c r="P8" s="38"/>
      <c r="Q8" t="s" s="37">
        <v>24</v>
      </c>
      <c r="R8" s="39"/>
      <c r="S8" s="25"/>
      <c r="T8" s="25"/>
      <c r="U8" s="25"/>
      <c r="V8" s="25"/>
      <c r="W8" s="25"/>
      <c r="X8" s="25"/>
      <c r="Y8" s="26"/>
    </row>
    <row r="9" ht="20" customHeight="1">
      <c r="A9" s="40"/>
      <c r="B9" t="s" s="41">
        <v>25</v>
      </c>
      <c r="C9" s="42"/>
      <c r="D9" s="43" cm="1">
        <f t="array" ref="D9">D37</f>
        <v>2500</v>
      </c>
      <c r="E9" s="43" cm="1">
        <f t="array" ref="E9">E37</f>
        <v>70500</v>
      </c>
      <c r="F9" s="43" cm="1">
        <f t="array" ref="F9">F37</f>
        <v>46500</v>
      </c>
      <c r="G9" s="43" cm="1">
        <f t="array" ref="G9">G37</f>
        <v>76500</v>
      </c>
      <c r="H9" s="43" cm="1">
        <f t="array" ref="H9">H37</f>
        <v>104500</v>
      </c>
      <c r="I9" s="43" cm="1">
        <f t="array" ref="I9">I37</f>
        <v>83500</v>
      </c>
      <c r="J9" s="43" cm="1">
        <f t="array" ref="J9">J37</f>
        <v>96500</v>
      </c>
      <c r="K9" s="43" cm="1">
        <f t="array" ref="K9">K37</f>
        <v>66000</v>
      </c>
      <c r="L9" s="43" cm="1">
        <f t="array" ref="L9">L37</f>
        <v>103000</v>
      </c>
      <c r="M9" s="43" cm="1">
        <f t="array" ref="M9">M37</f>
        <v>110000</v>
      </c>
      <c r="N9" s="43" cm="1">
        <f t="array" ref="N9">N37</f>
        <v>46500</v>
      </c>
      <c r="O9" s="43" cm="1">
        <f t="array" ref="O9">O37</f>
        <v>0</v>
      </c>
      <c r="P9" s="44"/>
      <c r="Q9" s="43" cm="1">
        <f t="array" ref="Q9">SUM(D9:O9)</f>
        <v>806000</v>
      </c>
      <c r="R9" s="39"/>
      <c r="S9" s="18"/>
      <c r="T9" s="18"/>
      <c r="U9" s="18"/>
      <c r="V9" s="18"/>
      <c r="W9" s="18"/>
      <c r="X9" s="31"/>
      <c r="Y9" s="45"/>
    </row>
    <row r="10" ht="20" customHeight="1">
      <c r="A10" s="40"/>
      <c r="B10" t="s" s="41">
        <v>26</v>
      </c>
      <c r="C10" s="42"/>
      <c r="D10" s="43" cm="1">
        <f t="array" ref="D10">D111</f>
        <v>166</v>
      </c>
      <c r="E10" s="43" cm="1">
        <f t="array" ref="E10">E111</f>
        <v>37506</v>
      </c>
      <c r="F10" s="43" cm="1">
        <f t="array" ref="F10">F111</f>
        <v>45500.98</v>
      </c>
      <c r="G10" s="43" cm="1">
        <f t="array" ref="G10">G111</f>
        <v>55631.5</v>
      </c>
      <c r="H10" s="43" cm="1">
        <f t="array" ref="H10">H111</f>
        <v>72766</v>
      </c>
      <c r="I10" s="43" cm="1">
        <f t="array" ref="I10">I111</f>
        <v>59296</v>
      </c>
      <c r="J10" s="43" cm="1">
        <f t="array" ref="J10">J111</f>
        <v>57826</v>
      </c>
      <c r="K10" s="43" cm="1">
        <f t="array" ref="K10">K111</f>
        <v>42756</v>
      </c>
      <c r="L10" s="43" cm="1">
        <f t="array" ref="L10">L111</f>
        <v>76736</v>
      </c>
      <c r="M10" s="43" cm="1">
        <f t="array" ref="M10">M111</f>
        <v>57096</v>
      </c>
      <c r="N10" s="43" cm="1">
        <f t="array" ref="N10">N111</f>
        <v>41996</v>
      </c>
      <c r="O10" s="43" cm="1">
        <f t="array" ref="O10">O111</f>
        <v>0</v>
      </c>
      <c r="P10" s="46"/>
      <c r="Q10" s="43" cm="1">
        <f t="array" ref="Q10">SUM(D10:O10)</f>
        <v>547276.48</v>
      </c>
      <c r="R10" s="47"/>
      <c r="S10" s="18"/>
      <c r="T10" s="18"/>
      <c r="U10" s="18"/>
      <c r="V10" s="18"/>
      <c r="W10" s="18"/>
      <c r="X10" s="18"/>
      <c r="Y10" s="19"/>
    </row>
    <row r="11" ht="22" customHeight="1">
      <c r="A11" s="40"/>
      <c r="B11" t="s" s="48">
        <v>27</v>
      </c>
      <c r="C11" s="49"/>
      <c r="D11" s="50" cm="1">
        <f t="array" ref="D11">D9-D10</f>
        <v>2334</v>
      </c>
      <c r="E11" s="50" cm="1">
        <f t="array" ref="E11">E9-E10</f>
        <v>32994</v>
      </c>
      <c r="F11" s="50" cm="1">
        <f t="array" ref="F11">F9-F10</f>
        <v>999.02</v>
      </c>
      <c r="G11" s="50" cm="1">
        <f t="array" ref="G11">G9-G10</f>
        <v>20868.5</v>
      </c>
      <c r="H11" s="50" cm="1">
        <f t="array" ref="H11">H9-H10</f>
        <v>31734</v>
      </c>
      <c r="I11" s="50" cm="1">
        <f t="array" ref="I11">I9-I10</f>
        <v>24204</v>
      </c>
      <c r="J11" s="50" cm="1">
        <f t="array" ref="J11">J9-J10</f>
        <v>38674</v>
      </c>
      <c r="K11" s="50" cm="1">
        <f t="array" ref="K11">K9-K10</f>
        <v>23244</v>
      </c>
      <c r="L11" s="50" cm="1">
        <f t="array" ref="L11">L9-L10</f>
        <v>26264</v>
      </c>
      <c r="M11" s="50" cm="1">
        <f t="array" ref="M11">M9-M10</f>
        <v>52904</v>
      </c>
      <c r="N11" s="50" cm="1">
        <f t="array" ref="N11">N9-N10</f>
        <v>4504</v>
      </c>
      <c r="O11" s="50" cm="1">
        <f t="array" ref="O11">O9-O10</f>
        <v>0</v>
      </c>
      <c r="P11" s="44"/>
      <c r="Q11" s="50" cm="1">
        <f t="array" ref="Q11">Q9-Q10</f>
        <v>258723.52</v>
      </c>
      <c r="R11" s="39"/>
      <c r="S11" s="18"/>
      <c r="T11" s="18"/>
      <c r="U11" s="18"/>
      <c r="V11" s="18"/>
      <c r="W11" s="18"/>
      <c r="X11" s="31"/>
      <c r="Y11" s="45"/>
    </row>
    <row r="12" ht="15" customHeight="1">
      <c r="A12" s="27"/>
      <c r="B12" s="51"/>
      <c r="C12" s="52"/>
      <c r="D12" s="52"/>
      <c r="E12" s="52"/>
      <c r="F12" s="52"/>
      <c r="G12" s="52"/>
      <c r="H12" s="52"/>
      <c r="I12" s="52"/>
      <c r="J12" s="52"/>
      <c r="K12" s="52"/>
      <c r="L12" s="52"/>
      <c r="M12" s="52"/>
      <c r="N12" s="52"/>
      <c r="O12" s="52"/>
      <c r="P12" s="18"/>
      <c r="Q12" s="52"/>
      <c r="R12" s="18"/>
      <c r="S12" s="18"/>
      <c r="T12" s="18"/>
      <c r="U12" s="18"/>
      <c r="V12" s="18"/>
      <c r="W12" s="18"/>
      <c r="X12" s="18"/>
      <c r="Y12" s="19"/>
    </row>
    <row r="13" ht="40.6" customHeight="1">
      <c r="A13" s="40"/>
      <c r="B13" t="s" s="53">
        <v>28</v>
      </c>
      <c r="C13" s="54"/>
      <c r="D13" s="55"/>
      <c r="E13" s="55"/>
      <c r="F13" s="55"/>
      <c r="G13" s="55"/>
      <c r="H13" s="55"/>
      <c r="I13" s="55"/>
      <c r="J13" s="55"/>
      <c r="K13" s="55"/>
      <c r="L13" s="55"/>
      <c r="M13" s="55"/>
      <c r="N13" s="55"/>
      <c r="O13" s="55"/>
      <c r="P13" s="18"/>
      <c r="Q13" s="55"/>
      <c r="R13" s="18"/>
      <c r="S13" s="18"/>
      <c r="T13" s="18"/>
      <c r="U13" s="18"/>
      <c r="V13" s="18"/>
      <c r="W13" s="18"/>
      <c r="X13" s="18"/>
      <c r="Y13" s="19"/>
    </row>
    <row r="14" ht="15" customHeight="1">
      <c r="A14" s="35"/>
      <c r="B14" s="56"/>
      <c r="C14" t="s" s="37">
        <v>11</v>
      </c>
      <c r="D14" t="s" s="37">
        <v>12</v>
      </c>
      <c r="E14" t="s" s="37">
        <v>13</v>
      </c>
      <c r="F14" t="s" s="37">
        <v>14</v>
      </c>
      <c r="G14" t="s" s="37">
        <v>15</v>
      </c>
      <c r="H14" t="s" s="37">
        <v>16</v>
      </c>
      <c r="I14" t="s" s="37">
        <v>17</v>
      </c>
      <c r="J14" t="s" s="37">
        <v>18</v>
      </c>
      <c r="K14" t="s" s="37">
        <v>19</v>
      </c>
      <c r="L14" t="s" s="37">
        <v>20</v>
      </c>
      <c r="M14" t="s" s="37">
        <v>21</v>
      </c>
      <c r="N14" t="s" s="37">
        <v>22</v>
      </c>
      <c r="O14" t="s" s="37">
        <v>23</v>
      </c>
      <c r="P14" s="38"/>
      <c r="Q14" t="s" s="37">
        <v>24</v>
      </c>
      <c r="R14" s="39"/>
      <c r="S14" s="25"/>
      <c r="T14" s="25"/>
      <c r="U14" s="25"/>
      <c r="V14" s="25"/>
      <c r="W14" s="25"/>
      <c r="X14" s="25"/>
      <c r="Y14" s="26"/>
    </row>
    <row r="15" ht="19.8" customHeight="1">
      <c r="A15" s="40"/>
      <c r="B15" t="s" s="57">
        <v>102</v>
      </c>
      <c r="C15" s="42"/>
      <c r="D15" s="58">
        <v>0</v>
      </c>
      <c r="E15" s="58">
        <v>14</v>
      </c>
      <c r="F15" s="58">
        <v>8</v>
      </c>
      <c r="G15" s="58">
        <v>12</v>
      </c>
      <c r="H15" s="58">
        <v>16</v>
      </c>
      <c r="I15" s="58">
        <v>13</v>
      </c>
      <c r="J15" s="58">
        <v>17</v>
      </c>
      <c r="K15" s="58">
        <v>13</v>
      </c>
      <c r="L15" s="58">
        <v>14</v>
      </c>
      <c r="M15" s="58">
        <v>20</v>
      </c>
      <c r="N15" s="58">
        <v>7</v>
      </c>
      <c r="O15" s="58"/>
      <c r="P15" s="44"/>
      <c r="Q15" s="58" cm="1">
        <f t="array" ref="Q15">SUM(D15:O15)</f>
        <v>134</v>
      </c>
      <c r="R15" s="39"/>
      <c r="S15" s="18"/>
      <c r="T15" s="18"/>
      <c r="U15" s="18"/>
      <c r="V15" s="18"/>
      <c r="W15" s="18"/>
      <c r="X15" s="31"/>
      <c r="Y15" s="45"/>
    </row>
    <row r="16" ht="19" customHeight="1">
      <c r="A16" s="40"/>
      <c r="B16" t="s" s="57">
        <v>103</v>
      </c>
      <c r="C16" s="42"/>
      <c r="D16" s="58">
        <v>1</v>
      </c>
      <c r="E16" s="58">
        <v>3</v>
      </c>
      <c r="F16" s="58">
        <v>6</v>
      </c>
      <c r="G16" s="58">
        <v>9</v>
      </c>
      <c r="H16" s="58">
        <v>13</v>
      </c>
      <c r="I16" s="58">
        <v>10</v>
      </c>
      <c r="J16" s="58">
        <v>8</v>
      </c>
      <c r="K16" s="58">
        <v>3</v>
      </c>
      <c r="L16" s="58">
        <v>16</v>
      </c>
      <c r="M16" s="58">
        <v>8</v>
      </c>
      <c r="N16" s="58">
        <v>6</v>
      </c>
      <c r="O16" s="58"/>
      <c r="P16" s="46"/>
      <c r="Q16" s="58" cm="1">
        <f t="array" ref="Q16">SUM(D16:O16)</f>
        <v>83</v>
      </c>
      <c r="R16" s="47"/>
      <c r="S16" s="18"/>
      <c r="T16" s="18"/>
      <c r="U16" s="18"/>
      <c r="V16" s="18"/>
      <c r="W16" s="18"/>
      <c r="X16" s="18"/>
      <c r="Y16" s="19"/>
    </row>
    <row r="17" ht="20.6" customHeight="1">
      <c r="A17" s="40"/>
      <c r="B17" t="s" s="59">
        <v>35</v>
      </c>
      <c r="C17" s="49"/>
      <c r="D17" s="60" cm="1">
        <f t="array" ref="D17">SUM(D15,D16)</f>
        <v>1</v>
      </c>
      <c r="E17" s="60" cm="1">
        <f t="array" ref="E17">SUM(E15,E16)</f>
        <v>17</v>
      </c>
      <c r="F17" s="60" cm="1">
        <f t="array" ref="F17">SUM(F15,F16)</f>
        <v>14</v>
      </c>
      <c r="G17" s="60" cm="1">
        <f t="array" ref="G17">SUM(G15,G16)</f>
        <v>21</v>
      </c>
      <c r="H17" s="60" cm="1">
        <f t="array" ref="H17">SUM(H15,H16)</f>
        <v>29</v>
      </c>
      <c r="I17" s="60" cm="1">
        <f t="array" ref="I17">SUM(I15,I16)</f>
        <v>23</v>
      </c>
      <c r="J17" s="60" cm="1">
        <f t="array" ref="J17">SUM(J15,J16)</f>
        <v>25</v>
      </c>
      <c r="K17" s="60" cm="1">
        <f t="array" ref="K17">SUM(K15,K16)</f>
        <v>16</v>
      </c>
      <c r="L17" s="60" cm="1">
        <f t="array" ref="L17">SUM(L15,L16)</f>
        <v>30</v>
      </c>
      <c r="M17" s="60" cm="1">
        <f t="array" ref="M17">SUM(M15,M16)</f>
        <v>28</v>
      </c>
      <c r="N17" s="60" cm="1">
        <f t="array" ref="N17">SUM(N15,N16)</f>
        <v>13</v>
      </c>
      <c r="O17" s="60" cm="1">
        <f t="array" ref="O17">SUM(O15,O16)</f>
        <v>0</v>
      </c>
      <c r="P17" s="46"/>
      <c r="Q17" s="60" cm="1">
        <f t="array" ref="Q17">SUM(Q15,Q16)</f>
        <v>217</v>
      </c>
      <c r="R17" s="39"/>
      <c r="S17" s="18"/>
      <c r="T17" s="18"/>
      <c r="U17" s="18"/>
      <c r="V17" s="18"/>
      <c r="W17" s="18"/>
      <c r="X17" s="31"/>
      <c r="Y17" s="45"/>
    </row>
    <row r="18" ht="20" customHeight="1">
      <c r="A18" s="27"/>
      <c r="B18" s="52"/>
      <c r="C18" s="61"/>
      <c r="D18" s="52"/>
      <c r="E18" s="52"/>
      <c r="F18" s="52"/>
      <c r="G18" s="52"/>
      <c r="H18" s="52"/>
      <c r="I18" s="52"/>
      <c r="J18" s="52"/>
      <c r="K18" s="52"/>
      <c r="L18" s="52"/>
      <c r="M18" s="52"/>
      <c r="N18" s="52"/>
      <c r="O18" s="52"/>
      <c r="P18" s="62"/>
      <c r="Q18" s="52"/>
      <c r="R18" s="31"/>
      <c r="S18" s="18"/>
      <c r="T18" s="18"/>
      <c r="U18" s="18"/>
      <c r="V18" s="18"/>
      <c r="W18" s="18"/>
      <c r="X18" s="31"/>
      <c r="Y18" s="45"/>
    </row>
    <row r="19" ht="20" customHeight="1">
      <c r="A19" s="27"/>
      <c r="B19" t="s" s="63">
        <v>36</v>
      </c>
      <c r="C19" s="64"/>
      <c r="D19" s="64"/>
      <c r="E19" s="64"/>
      <c r="F19" s="64"/>
      <c r="G19" s="64"/>
      <c r="H19" s="64"/>
      <c r="I19" s="64"/>
      <c r="J19" s="64"/>
      <c r="K19" s="64"/>
      <c r="L19" s="64"/>
      <c r="M19" s="64"/>
      <c r="N19" s="64"/>
      <c r="O19" s="64"/>
      <c r="P19" s="65"/>
      <c r="Q19" s="64"/>
      <c r="R19" s="31"/>
      <c r="S19" s="18"/>
      <c r="T19" s="18"/>
      <c r="U19" s="18"/>
      <c r="V19" s="18"/>
      <c r="W19" s="18"/>
      <c r="X19" s="18"/>
      <c r="Y19" s="19"/>
    </row>
    <row r="20" ht="20" customHeight="1">
      <c r="A20" s="20"/>
      <c r="B20" t="s" s="66">
        <v>37</v>
      </c>
      <c r="C20" t="s" s="37">
        <v>11</v>
      </c>
      <c r="D20" t="s" s="67">
        <v>12</v>
      </c>
      <c r="E20" t="s" s="67">
        <v>13</v>
      </c>
      <c r="F20" t="s" s="67">
        <v>14</v>
      </c>
      <c r="G20" t="s" s="67">
        <v>15</v>
      </c>
      <c r="H20" t="s" s="67">
        <v>16</v>
      </c>
      <c r="I20" t="s" s="67">
        <v>17</v>
      </c>
      <c r="J20" t="s" s="67">
        <v>18</v>
      </c>
      <c r="K20" t="s" s="67">
        <v>19</v>
      </c>
      <c r="L20" t="s" s="67">
        <v>20</v>
      </c>
      <c r="M20" t="s" s="67">
        <v>21</v>
      </c>
      <c r="N20" t="s" s="67">
        <v>22</v>
      </c>
      <c r="O20" t="s" s="67">
        <v>23</v>
      </c>
      <c r="P20" s="38"/>
      <c r="Q20" t="s" s="67">
        <v>24</v>
      </c>
      <c r="R20" s="39"/>
      <c r="S20" s="25"/>
      <c r="T20" s="25"/>
      <c r="U20" s="25"/>
      <c r="V20" s="25"/>
      <c r="W20" s="25"/>
      <c r="X20" s="25"/>
      <c r="Y20" s="26"/>
    </row>
    <row r="21" ht="20" customHeight="1">
      <c r="A21" s="40"/>
      <c r="B21" t="s" s="68">
        <v>104</v>
      </c>
      <c r="C21" s="69"/>
      <c r="D21" s="70" cm="1">
        <f t="array" ref="D21">SUM(4500*D15)</f>
        <v>0</v>
      </c>
      <c r="E21" s="70" cm="1">
        <f t="array" ref="E21">SUM(4500*E15)</f>
        <v>63000</v>
      </c>
      <c r="F21" s="70" cm="1">
        <f t="array" ref="F21">SUM(4500*F15)</f>
        <v>36000</v>
      </c>
      <c r="G21" s="70" cm="1">
        <f t="array" ref="G21">SUM(4500*G15)</f>
        <v>54000</v>
      </c>
      <c r="H21" s="70" cm="1">
        <f t="array" ref="H21">SUM(4500*H15)</f>
        <v>72000</v>
      </c>
      <c r="I21" s="70" cm="1">
        <f t="array" ref="I21">SUM(4500*I15)</f>
        <v>58500</v>
      </c>
      <c r="J21" s="70" cm="1">
        <f t="array" ref="J21">SUM(4500*J15)</f>
        <v>76500</v>
      </c>
      <c r="K21" s="70" cm="1">
        <f t="array" ref="K21">SUM(4500*K15)</f>
        <v>58500</v>
      </c>
      <c r="L21" s="70" cm="1">
        <f t="array" ref="L21">SUM(4500*L15)</f>
        <v>63000</v>
      </c>
      <c r="M21" s="70" cm="1">
        <f t="array" ref="M21">SUM(4500*M15)</f>
        <v>90000</v>
      </c>
      <c r="N21" s="70" cm="1">
        <f t="array" ref="N21">SUM(4500*N15)</f>
        <v>31500</v>
      </c>
      <c r="O21" s="70" cm="1">
        <f t="array" ref="O21">SUM(4500*O15)</f>
        <v>0</v>
      </c>
      <c r="P21" s="44"/>
      <c r="Q21" s="70" cm="1">
        <f t="array" ref="Q21">SUM(D21:O21)</f>
        <v>603000</v>
      </c>
      <c r="R21" s="39"/>
      <c r="S21" s="18"/>
      <c r="T21" s="18"/>
      <c r="U21" s="18"/>
      <c r="V21" s="18"/>
      <c r="W21" s="18"/>
      <c r="X21" s="31"/>
      <c r="Y21" s="45"/>
    </row>
    <row r="22" ht="20" customHeight="1">
      <c r="A22" s="40"/>
      <c r="B22" t="s" s="68">
        <v>105</v>
      </c>
      <c r="C22" s="69"/>
      <c r="D22" s="70" cm="1">
        <f t="array" ref="D22">SUM(2500*D16)</f>
        <v>2500</v>
      </c>
      <c r="E22" s="70" cm="1">
        <f t="array" ref="E22">SUM(2500*E16)</f>
        <v>7500</v>
      </c>
      <c r="F22" s="70" cm="1">
        <f t="array" ref="F22">SUM(2500*F16)</f>
        <v>15000</v>
      </c>
      <c r="G22" s="70" cm="1">
        <f t="array" ref="G22">SUM(2500*G16)</f>
        <v>22500</v>
      </c>
      <c r="H22" s="70" cm="1">
        <f t="array" ref="H22">SUM(2500*H16)</f>
        <v>32500</v>
      </c>
      <c r="I22" s="70" cm="1">
        <f t="array" ref="I22">SUM(2500*I16)</f>
        <v>25000</v>
      </c>
      <c r="J22" s="70" cm="1">
        <f t="array" ref="J22">SUM(2500*J16)</f>
        <v>20000</v>
      </c>
      <c r="K22" s="70" cm="1">
        <f t="array" ref="K22">SUM(2500*K16)</f>
        <v>7500</v>
      </c>
      <c r="L22" s="70" cm="1">
        <f t="array" ref="L22">SUM(2500*L16)</f>
        <v>40000</v>
      </c>
      <c r="M22" s="70" cm="1">
        <f t="array" ref="M22">SUM(2500*M16)</f>
        <v>20000</v>
      </c>
      <c r="N22" s="70" cm="1">
        <f t="array" ref="N22">SUM(2500*N16)</f>
        <v>15000</v>
      </c>
      <c r="O22" s="70" cm="1">
        <f t="array" ref="O22">SUM(2500*O16)</f>
        <v>0</v>
      </c>
      <c r="P22" s="44"/>
      <c r="Q22" s="70" cm="1">
        <f t="array" ref="Q22">SUM(D22:O22)</f>
        <v>207500</v>
      </c>
      <c r="R22" s="39"/>
      <c r="S22" s="18"/>
      <c r="T22" s="18"/>
      <c r="U22" s="18"/>
      <c r="V22" s="18"/>
      <c r="W22" s="18"/>
      <c r="X22" s="31"/>
      <c r="Y22" s="45"/>
    </row>
    <row r="23" ht="20" customHeight="1">
      <c r="A23" s="40"/>
      <c r="B23" t="s" s="68">
        <v>106</v>
      </c>
      <c r="C23" s="110"/>
      <c r="D23" s="70">
        <v>0</v>
      </c>
      <c r="E23" s="70">
        <v>0</v>
      </c>
      <c r="F23" s="70">
        <v>0</v>
      </c>
      <c r="G23" s="70">
        <v>0</v>
      </c>
      <c r="H23" s="70">
        <v>0</v>
      </c>
      <c r="I23" s="70">
        <v>0</v>
      </c>
      <c r="J23" s="70">
        <v>0</v>
      </c>
      <c r="K23" s="70">
        <v>0</v>
      </c>
      <c r="L23" s="70">
        <v>0</v>
      </c>
      <c r="M23" s="70">
        <v>0</v>
      </c>
      <c r="N23" s="70">
        <v>0</v>
      </c>
      <c r="O23" s="70">
        <v>0</v>
      </c>
      <c r="P23" s="44"/>
      <c r="Q23" s="70" cm="1">
        <f t="array" ref="Q23">SUM(D23:O23)</f>
        <v>0</v>
      </c>
      <c r="R23" s="39"/>
      <c r="S23" s="18"/>
      <c r="T23" s="18"/>
      <c r="U23" s="18"/>
      <c r="V23" s="18"/>
      <c r="W23" s="18"/>
      <c r="X23" s="31"/>
      <c r="Y23" s="45"/>
    </row>
    <row r="24" ht="20" customHeight="1">
      <c r="A24" s="40"/>
      <c r="B24" t="s" s="68">
        <v>107</v>
      </c>
      <c r="C24" s="110"/>
      <c r="D24" s="70">
        <v>0</v>
      </c>
      <c r="E24" s="70">
        <v>0</v>
      </c>
      <c r="F24" s="70">
        <v>0</v>
      </c>
      <c r="G24" s="70">
        <v>0</v>
      </c>
      <c r="H24" s="70">
        <v>0</v>
      </c>
      <c r="I24" s="70">
        <v>0</v>
      </c>
      <c r="J24" s="70">
        <v>0</v>
      </c>
      <c r="K24" s="70">
        <v>0</v>
      </c>
      <c r="L24" s="70">
        <v>0</v>
      </c>
      <c r="M24" s="70">
        <v>0</v>
      </c>
      <c r="N24" s="70">
        <v>0</v>
      </c>
      <c r="O24" s="70">
        <v>0</v>
      </c>
      <c r="P24" s="44"/>
      <c r="Q24" s="70" cm="1">
        <f t="array" ref="Q24">SUM(D24:O24)</f>
        <v>0</v>
      </c>
      <c r="R24" s="39"/>
      <c r="S24" s="18"/>
      <c r="T24" s="18"/>
      <c r="U24" s="18"/>
      <c r="V24" s="18"/>
      <c r="W24" s="18"/>
      <c r="X24" s="31"/>
      <c r="Y24" s="45"/>
    </row>
    <row r="25" ht="20" customHeight="1">
      <c r="A25" s="40"/>
      <c r="B25" t="s" s="68">
        <v>108</v>
      </c>
      <c r="C25" s="110"/>
      <c r="D25" s="70">
        <v>0</v>
      </c>
      <c r="E25" s="70">
        <v>0</v>
      </c>
      <c r="F25" s="70">
        <v>0</v>
      </c>
      <c r="G25" s="70">
        <v>0</v>
      </c>
      <c r="H25" s="70">
        <v>0</v>
      </c>
      <c r="I25" s="70">
        <v>0</v>
      </c>
      <c r="J25" s="70">
        <v>0</v>
      </c>
      <c r="K25" s="70">
        <v>0</v>
      </c>
      <c r="L25" s="70">
        <v>0</v>
      </c>
      <c r="M25" s="70">
        <v>0</v>
      </c>
      <c r="N25" s="70">
        <v>0</v>
      </c>
      <c r="O25" s="70">
        <v>0</v>
      </c>
      <c r="P25" s="44"/>
      <c r="Q25" s="70" cm="1">
        <f t="array" ref="Q25">SUM(D25:O25)</f>
        <v>0</v>
      </c>
      <c r="R25" s="39"/>
      <c r="S25" s="18"/>
      <c r="T25" s="18"/>
      <c r="U25" s="18"/>
      <c r="V25" s="18"/>
      <c r="W25" s="18"/>
      <c r="X25" s="31"/>
      <c r="Y25" s="45"/>
    </row>
    <row r="26" ht="20" customHeight="1">
      <c r="A26" s="40"/>
      <c r="B26" t="s" s="68">
        <v>109</v>
      </c>
      <c r="C26" s="110"/>
      <c r="D26" s="70">
        <v>0</v>
      </c>
      <c r="E26" s="70">
        <v>0</v>
      </c>
      <c r="F26" s="70">
        <v>0</v>
      </c>
      <c r="G26" s="70">
        <v>0</v>
      </c>
      <c r="H26" s="70">
        <v>0</v>
      </c>
      <c r="I26" s="70">
        <v>0</v>
      </c>
      <c r="J26" s="70">
        <v>0</v>
      </c>
      <c r="K26" s="70">
        <v>0</v>
      </c>
      <c r="L26" s="70">
        <v>0</v>
      </c>
      <c r="M26" s="70">
        <v>0</v>
      </c>
      <c r="N26" s="70">
        <v>0</v>
      </c>
      <c r="O26" s="70">
        <v>0</v>
      </c>
      <c r="P26" s="44"/>
      <c r="Q26" s="70" cm="1">
        <f t="array" ref="Q26">SUM(D26:O26)</f>
        <v>0</v>
      </c>
      <c r="R26" s="39"/>
      <c r="S26" s="18"/>
      <c r="T26" s="18"/>
      <c r="U26" s="18"/>
      <c r="V26" s="18"/>
      <c r="W26" s="18"/>
      <c r="X26" s="31"/>
      <c r="Y26" s="45"/>
    </row>
    <row r="27" ht="20" customHeight="1">
      <c r="A27" s="40"/>
      <c r="B27" t="s" s="68">
        <v>110</v>
      </c>
      <c r="C27" s="110"/>
      <c r="D27" s="70">
        <v>0</v>
      </c>
      <c r="E27" s="70">
        <v>0</v>
      </c>
      <c r="F27" s="70">
        <v>0</v>
      </c>
      <c r="G27" s="70">
        <v>0</v>
      </c>
      <c r="H27" s="70">
        <v>0</v>
      </c>
      <c r="I27" s="70">
        <v>0</v>
      </c>
      <c r="J27" s="70">
        <v>0</v>
      </c>
      <c r="K27" s="70">
        <v>0</v>
      </c>
      <c r="L27" s="70">
        <v>0</v>
      </c>
      <c r="M27" s="70">
        <v>0</v>
      </c>
      <c r="N27" s="70">
        <v>0</v>
      </c>
      <c r="O27" s="70">
        <v>0</v>
      </c>
      <c r="P27" s="44"/>
      <c r="Q27" s="70" cm="1">
        <f t="array" ref="Q27">SUM(D27:O27)</f>
        <v>0</v>
      </c>
      <c r="R27" s="39"/>
      <c r="S27" s="18"/>
      <c r="T27" s="18"/>
      <c r="U27" s="18"/>
      <c r="V27" s="18"/>
      <c r="W27" s="18"/>
      <c r="X27" s="31"/>
      <c r="Y27" s="45"/>
    </row>
    <row r="28" ht="20" customHeight="1">
      <c r="A28" s="40"/>
      <c r="B28" t="s" s="68">
        <v>111</v>
      </c>
      <c r="C28" s="110"/>
      <c r="D28" s="70">
        <v>0</v>
      </c>
      <c r="E28" s="70">
        <v>0</v>
      </c>
      <c r="F28" s="70">
        <v>0</v>
      </c>
      <c r="G28" s="70">
        <v>0</v>
      </c>
      <c r="H28" s="70">
        <v>0</v>
      </c>
      <c r="I28" s="70">
        <v>0</v>
      </c>
      <c r="J28" s="70">
        <v>0</v>
      </c>
      <c r="K28" s="70">
        <v>0</v>
      </c>
      <c r="L28" s="70">
        <v>0</v>
      </c>
      <c r="M28" s="70">
        <v>0</v>
      </c>
      <c r="N28" s="70">
        <v>0</v>
      </c>
      <c r="O28" s="70">
        <v>0</v>
      </c>
      <c r="P28" s="44"/>
      <c r="Q28" s="70" cm="1">
        <f t="array" ref="Q28">SUM(D28:O28)</f>
        <v>0</v>
      </c>
      <c r="R28" s="39"/>
      <c r="S28" s="18"/>
      <c r="T28" s="18"/>
      <c r="U28" s="18"/>
      <c r="V28" s="18"/>
      <c r="W28" s="18"/>
      <c r="X28" s="31"/>
      <c r="Y28" s="45"/>
    </row>
    <row r="29" ht="20" customHeight="1">
      <c r="A29" s="40"/>
      <c r="B29" t="s" s="72">
        <v>38</v>
      </c>
      <c r="C29" s="73"/>
      <c r="D29" s="43" cm="1">
        <f t="array" ref="D29">SUM(D21:D28)</f>
        <v>2500</v>
      </c>
      <c r="E29" s="43" cm="1">
        <f t="array" ref="E29">SUM(E21:E28)</f>
        <v>70500</v>
      </c>
      <c r="F29" s="43" cm="1">
        <f t="array" ref="F29">SUM(F21:F28)</f>
        <v>51000</v>
      </c>
      <c r="G29" s="43" cm="1">
        <f t="array" ref="G29">SUM(G21:G28)</f>
        <v>76500</v>
      </c>
      <c r="H29" s="43" cm="1">
        <f t="array" ref="H29">SUM(H21:H28)</f>
        <v>104500</v>
      </c>
      <c r="I29" s="43" cm="1">
        <f t="array" ref="I29">SUM(I21:I28)</f>
        <v>83500</v>
      </c>
      <c r="J29" s="43" cm="1">
        <f t="array" ref="J29">SUM(J21:J28)</f>
        <v>96500</v>
      </c>
      <c r="K29" s="43" cm="1">
        <f t="array" ref="K29">SUM(K21:K28)</f>
        <v>66000</v>
      </c>
      <c r="L29" s="43" cm="1">
        <f t="array" ref="L29">SUM(L21:L28)</f>
        <v>103000</v>
      </c>
      <c r="M29" s="43" cm="1">
        <f t="array" ref="M29">SUM(M21:M28)</f>
        <v>110000</v>
      </c>
      <c r="N29" s="43" cm="1">
        <f t="array" ref="N29">SUM(N21:N28)</f>
        <v>46500</v>
      </c>
      <c r="O29" s="43" cm="1">
        <f t="array" ref="O29">SUM(O21:O28)</f>
        <v>0</v>
      </c>
      <c r="P29" s="44"/>
      <c r="Q29" s="43" cm="1">
        <f t="array" ref="Q29">SUM(Q21:Q28)</f>
        <v>810500</v>
      </c>
      <c r="R29" s="39"/>
      <c r="S29" s="18"/>
      <c r="T29" s="18"/>
      <c r="U29" s="18"/>
      <c r="V29" s="18"/>
      <c r="W29" s="18"/>
      <c r="X29" s="31"/>
      <c r="Y29" s="45"/>
    </row>
    <row r="30" ht="20" customHeight="1">
      <c r="A30" s="27"/>
      <c r="B30" s="74"/>
      <c r="C30" s="75"/>
      <c r="D30" s="76"/>
      <c r="E30" s="76"/>
      <c r="F30" s="76"/>
      <c r="G30" s="76"/>
      <c r="H30" s="76"/>
      <c r="I30" s="76"/>
      <c r="J30" s="76"/>
      <c r="K30" s="76"/>
      <c r="L30" s="76"/>
      <c r="M30" s="76"/>
      <c r="N30" s="76"/>
      <c r="O30" s="76"/>
      <c r="P30" s="62"/>
      <c r="Q30" s="74"/>
      <c r="R30" s="31"/>
      <c r="S30" s="18"/>
      <c r="T30" s="18"/>
      <c r="U30" s="18"/>
      <c r="V30" s="18"/>
      <c r="W30" s="18"/>
      <c r="X30" s="31"/>
      <c r="Y30" s="45"/>
    </row>
    <row r="31" ht="20" customHeight="1">
      <c r="A31" s="40"/>
      <c r="B31" t="s" s="66">
        <v>39</v>
      </c>
      <c r="C31" t="s" s="37">
        <v>11</v>
      </c>
      <c r="D31" t="s" s="37">
        <v>12</v>
      </c>
      <c r="E31" t="s" s="37">
        <v>13</v>
      </c>
      <c r="F31" t="s" s="37">
        <v>14</v>
      </c>
      <c r="G31" t="s" s="37">
        <v>15</v>
      </c>
      <c r="H31" t="s" s="37">
        <v>16</v>
      </c>
      <c r="I31" t="s" s="37">
        <v>17</v>
      </c>
      <c r="J31" t="s" s="37">
        <v>18</v>
      </c>
      <c r="K31" t="s" s="37">
        <v>19</v>
      </c>
      <c r="L31" t="s" s="37">
        <v>20</v>
      </c>
      <c r="M31" t="s" s="37">
        <v>21</v>
      </c>
      <c r="N31" t="s" s="37">
        <v>22</v>
      </c>
      <c r="O31" t="s" s="37">
        <v>23</v>
      </c>
      <c r="P31" s="44"/>
      <c r="Q31" t="s" s="67">
        <v>24</v>
      </c>
      <c r="R31" s="39"/>
      <c r="S31" s="18"/>
      <c r="T31" s="18"/>
      <c r="U31" s="18"/>
      <c r="V31" s="18"/>
      <c r="W31" s="18"/>
      <c r="X31" s="31"/>
      <c r="Y31" s="45"/>
    </row>
    <row r="32" ht="20" customHeight="1">
      <c r="A32" s="77"/>
      <c r="B32" t="s" s="78">
        <v>40</v>
      </c>
      <c r="C32" s="79"/>
      <c r="D32" s="80">
        <v>0</v>
      </c>
      <c r="E32" s="80">
        <v>0</v>
      </c>
      <c r="F32" s="80">
        <v>4500</v>
      </c>
      <c r="G32" s="80">
        <v>0</v>
      </c>
      <c r="H32" s="80">
        <v>0</v>
      </c>
      <c r="I32" s="80">
        <v>0</v>
      </c>
      <c r="J32" s="80">
        <v>0</v>
      </c>
      <c r="K32" s="80">
        <v>0</v>
      </c>
      <c r="L32" s="80">
        <v>0</v>
      </c>
      <c r="M32" s="80">
        <v>0</v>
      </c>
      <c r="N32" s="80">
        <v>0</v>
      </c>
      <c r="O32" s="80">
        <v>0</v>
      </c>
      <c r="P32" s="81"/>
      <c r="Q32" s="80" cm="1">
        <f t="array" ref="Q32">SUM(D32:O32)</f>
        <v>4500</v>
      </c>
      <c r="R32" s="39"/>
      <c r="S32" s="82"/>
      <c r="T32" s="82"/>
      <c r="U32" s="82"/>
      <c r="V32" s="82"/>
      <c r="W32" s="82"/>
      <c r="X32" s="31"/>
      <c r="Y32" s="45"/>
    </row>
    <row r="33" ht="20" customHeight="1">
      <c r="A33" s="40"/>
      <c r="B33" t="s" s="78">
        <v>41</v>
      </c>
      <c r="C33" s="79"/>
      <c r="D33" s="80">
        <v>0</v>
      </c>
      <c r="E33" s="80">
        <v>0</v>
      </c>
      <c r="F33" s="80">
        <v>0</v>
      </c>
      <c r="G33" s="80">
        <v>0</v>
      </c>
      <c r="H33" s="80">
        <v>0</v>
      </c>
      <c r="I33" s="80">
        <v>0</v>
      </c>
      <c r="J33" s="80">
        <v>0</v>
      </c>
      <c r="K33" s="80">
        <v>0</v>
      </c>
      <c r="L33" s="80">
        <v>0</v>
      </c>
      <c r="M33" s="80">
        <v>0</v>
      </c>
      <c r="N33" s="80">
        <v>0</v>
      </c>
      <c r="O33" s="80">
        <v>0</v>
      </c>
      <c r="P33" s="81"/>
      <c r="Q33" s="80" cm="1">
        <f t="array" ref="Q33">SUM(D33:O33)</f>
        <v>0</v>
      </c>
      <c r="R33" s="39"/>
      <c r="S33" s="18"/>
      <c r="T33" s="18"/>
      <c r="U33" s="18"/>
      <c r="V33" s="18"/>
      <c r="W33" s="18"/>
      <c r="X33" s="31"/>
      <c r="Y33" s="45"/>
    </row>
    <row r="34" ht="20" customHeight="1">
      <c r="A34" s="13"/>
      <c r="B34" t="s" s="78">
        <v>42</v>
      </c>
      <c r="C34" s="79"/>
      <c r="D34" s="80">
        <v>0</v>
      </c>
      <c r="E34" s="80">
        <v>0</v>
      </c>
      <c r="F34" s="80">
        <v>0</v>
      </c>
      <c r="G34" s="80">
        <v>0</v>
      </c>
      <c r="H34" s="80">
        <v>0</v>
      </c>
      <c r="I34" s="80">
        <v>0</v>
      </c>
      <c r="J34" s="80">
        <v>0</v>
      </c>
      <c r="K34" s="80">
        <v>0</v>
      </c>
      <c r="L34" s="80">
        <v>0</v>
      </c>
      <c r="M34" s="80">
        <v>0</v>
      </c>
      <c r="N34" s="80">
        <v>0</v>
      </c>
      <c r="O34" s="80">
        <v>0</v>
      </c>
      <c r="P34" s="81"/>
      <c r="Q34" s="80" cm="1">
        <f t="array" ref="Q34">SUM(D34:O34)</f>
        <v>0</v>
      </c>
      <c r="R34" s="39"/>
      <c r="S34" s="83"/>
      <c r="T34" s="83"/>
      <c r="U34" s="83"/>
      <c r="V34" s="83"/>
      <c r="W34" s="83"/>
      <c r="X34" s="31"/>
      <c r="Y34" s="45"/>
    </row>
    <row r="35" ht="20" customHeight="1">
      <c r="A35" s="40"/>
      <c r="B35" t="s" s="72">
        <v>43</v>
      </c>
      <c r="C35" s="42"/>
      <c r="D35" s="43" cm="1">
        <f t="array" ref="D35">SUM(D32:D34)</f>
        <v>0</v>
      </c>
      <c r="E35" s="43" cm="1">
        <f t="array" ref="E35">SUM(E32:E34)</f>
        <v>0</v>
      </c>
      <c r="F35" s="43" cm="1">
        <f t="array" ref="F35">SUM(F32:F34)</f>
        <v>4500</v>
      </c>
      <c r="G35" s="43" cm="1">
        <f t="array" ref="G35">SUM(G32:G34)</f>
        <v>0</v>
      </c>
      <c r="H35" s="43" cm="1">
        <f t="array" ref="H35">SUM(H32:H34)</f>
        <v>0</v>
      </c>
      <c r="I35" s="43" cm="1">
        <f t="array" ref="I35">SUM(I32:I34)</f>
        <v>0</v>
      </c>
      <c r="J35" s="43" cm="1">
        <f t="array" ref="J35">SUM(J32:J34)</f>
        <v>0</v>
      </c>
      <c r="K35" s="43" cm="1">
        <f t="array" ref="K35">SUM(K32:K34)</f>
        <v>0</v>
      </c>
      <c r="L35" s="43" cm="1">
        <f t="array" ref="L35">SUM(L32:L34)</f>
        <v>0</v>
      </c>
      <c r="M35" s="43" cm="1">
        <f t="array" ref="M35">SUM(M32:M34)</f>
        <v>0</v>
      </c>
      <c r="N35" s="43" cm="1">
        <f t="array" ref="N35">SUM(N32:N34)</f>
        <v>0</v>
      </c>
      <c r="O35" s="43" cm="1">
        <f t="array" ref="O35">SUM(O32:O34)</f>
        <v>0</v>
      </c>
      <c r="P35" s="81"/>
      <c r="Q35" s="43" cm="1">
        <f t="array" ref="Q35">SUM(Q32:Q34)</f>
        <v>4500</v>
      </c>
      <c r="R35" s="39"/>
      <c r="S35" s="18"/>
      <c r="T35" s="18"/>
      <c r="U35" s="18"/>
      <c r="V35" s="18"/>
      <c r="W35" s="18"/>
      <c r="X35" s="31"/>
      <c r="Y35" s="45"/>
    </row>
    <row r="36" ht="20" customHeight="1">
      <c r="A36" s="27"/>
      <c r="B36" s="74"/>
      <c r="C36" s="84"/>
      <c r="D36" s="74"/>
      <c r="E36" s="74"/>
      <c r="F36" s="74"/>
      <c r="G36" s="74"/>
      <c r="H36" s="74"/>
      <c r="I36" s="74"/>
      <c r="J36" s="74"/>
      <c r="K36" s="74"/>
      <c r="L36" s="74"/>
      <c r="M36" s="74"/>
      <c r="N36" s="74"/>
      <c r="O36" s="74"/>
      <c r="P36" s="62"/>
      <c r="Q36" s="74"/>
      <c r="R36" s="31"/>
      <c r="S36" s="18"/>
      <c r="T36" s="18"/>
      <c r="U36" s="18"/>
      <c r="V36" s="18"/>
      <c r="W36" s="18"/>
      <c r="X36" s="31"/>
      <c r="Y36" s="45"/>
    </row>
    <row r="37" ht="20" customHeight="1">
      <c r="A37" s="40"/>
      <c r="B37" t="s" s="41">
        <v>44</v>
      </c>
      <c r="C37" s="42"/>
      <c r="D37" s="43" cm="1">
        <f t="array" ref="D37">D29-D35</f>
        <v>2500</v>
      </c>
      <c r="E37" s="43" cm="1">
        <f t="array" ref="E37">E29-E35</f>
        <v>70500</v>
      </c>
      <c r="F37" s="43" cm="1">
        <f t="array" ref="F37">F29-F35</f>
        <v>46500</v>
      </c>
      <c r="G37" s="43" cm="1">
        <f t="array" ref="G37">G29-G35</f>
        <v>76500</v>
      </c>
      <c r="H37" s="43" cm="1">
        <f t="array" ref="H37">H29-H35</f>
        <v>104500</v>
      </c>
      <c r="I37" s="43" cm="1">
        <f t="array" ref="I37">I29-I35</f>
        <v>83500</v>
      </c>
      <c r="J37" s="43" cm="1">
        <f t="array" ref="J37">J29-J35</f>
        <v>96500</v>
      </c>
      <c r="K37" s="43" cm="1">
        <f t="array" ref="K37">K29-K35</f>
        <v>66000</v>
      </c>
      <c r="L37" s="43" cm="1">
        <f t="array" ref="L37">L29-L35</f>
        <v>103000</v>
      </c>
      <c r="M37" s="43" cm="1">
        <f t="array" ref="M37">M29-M35</f>
        <v>110000</v>
      </c>
      <c r="N37" s="43" cm="1">
        <f t="array" ref="N37">N29-N35</f>
        <v>46500</v>
      </c>
      <c r="O37" s="43" cm="1">
        <f t="array" ref="O37">O29-O35</f>
        <v>0</v>
      </c>
      <c r="P37" s="44"/>
      <c r="Q37" s="85" cm="1">
        <f t="array" ref="Q37">Q29-Q35</f>
        <v>806000</v>
      </c>
      <c r="R37" s="39"/>
      <c r="S37" s="18"/>
      <c r="T37" s="18"/>
      <c r="U37" s="18"/>
      <c r="V37" s="18"/>
      <c r="W37" s="18"/>
      <c r="X37" s="31"/>
      <c r="Y37" s="45"/>
    </row>
    <row r="38" ht="20" customHeight="1">
      <c r="A38" s="27"/>
      <c r="B38" s="86"/>
      <c r="C38" s="84"/>
      <c r="D38" s="87"/>
      <c r="E38" s="87"/>
      <c r="F38" s="87"/>
      <c r="G38" s="87"/>
      <c r="H38" s="87"/>
      <c r="I38" s="87"/>
      <c r="J38" s="87"/>
      <c r="K38" s="87"/>
      <c r="L38" s="87"/>
      <c r="M38" s="87"/>
      <c r="N38" s="87"/>
      <c r="O38" s="87"/>
      <c r="P38" s="62"/>
      <c r="Q38" s="87"/>
      <c r="R38" s="31"/>
      <c r="S38" s="18"/>
      <c r="T38" s="18"/>
      <c r="U38" s="18"/>
      <c r="V38" s="18"/>
      <c r="W38" s="18"/>
      <c r="X38" s="31"/>
      <c r="Y38" s="45"/>
    </row>
    <row r="39" ht="20" customHeight="1">
      <c r="A39" s="40"/>
      <c r="B39" t="s" s="88">
        <v>45</v>
      </c>
      <c r="C39" s="89"/>
      <c r="D39" s="89"/>
      <c r="E39" s="89"/>
      <c r="F39" s="89"/>
      <c r="G39" s="89"/>
      <c r="H39" s="89"/>
      <c r="I39" s="89"/>
      <c r="J39" s="89"/>
      <c r="K39" s="89"/>
      <c r="L39" s="89"/>
      <c r="M39" s="89"/>
      <c r="N39" s="89"/>
      <c r="O39" s="90"/>
      <c r="P39" s="44"/>
      <c r="Q39" s="91"/>
      <c r="R39" s="39"/>
      <c r="S39" s="18"/>
      <c r="T39" s="18"/>
      <c r="U39" s="18"/>
      <c r="V39" s="18"/>
      <c r="W39" s="18"/>
      <c r="X39" s="31"/>
      <c r="Y39" s="45"/>
    </row>
    <row r="40" ht="20" customHeight="1">
      <c r="A40" s="40"/>
      <c r="B40" t="s" s="92">
        <v>46</v>
      </c>
      <c r="C40" t="s" s="67">
        <v>11</v>
      </c>
      <c r="D40" t="s" s="67">
        <v>12</v>
      </c>
      <c r="E40" t="s" s="67">
        <v>13</v>
      </c>
      <c r="F40" t="s" s="67">
        <v>14</v>
      </c>
      <c r="G40" t="s" s="67">
        <v>15</v>
      </c>
      <c r="H40" t="s" s="67">
        <v>16</v>
      </c>
      <c r="I40" t="s" s="67">
        <v>17</v>
      </c>
      <c r="J40" t="s" s="67">
        <v>18</v>
      </c>
      <c r="K40" t="s" s="67">
        <v>19</v>
      </c>
      <c r="L40" t="s" s="67">
        <v>20</v>
      </c>
      <c r="M40" t="s" s="67">
        <v>21</v>
      </c>
      <c r="N40" t="s" s="67">
        <v>22</v>
      </c>
      <c r="O40" t="s" s="67">
        <v>23</v>
      </c>
      <c r="P40" s="44"/>
      <c r="Q40" t="s" s="67">
        <v>24</v>
      </c>
      <c r="R40" s="39"/>
      <c r="S40" s="18"/>
      <c r="T40" s="18"/>
      <c r="U40" s="18"/>
      <c r="V40" s="18"/>
      <c r="W40" s="18"/>
      <c r="X40" s="31"/>
      <c r="Y40" s="45"/>
    </row>
    <row r="41" ht="20" customHeight="1">
      <c r="A41" s="93"/>
      <c r="B41" t="s" s="68">
        <v>112</v>
      </c>
      <c r="C41" t="s" s="111">
        <v>113</v>
      </c>
      <c r="D41" s="70">
        <v>0</v>
      </c>
      <c r="E41" s="70">
        <v>0</v>
      </c>
      <c r="F41" s="70">
        <v>800</v>
      </c>
      <c r="G41" s="70">
        <v>2000</v>
      </c>
      <c r="H41" s="70">
        <v>3450</v>
      </c>
      <c r="I41" s="70">
        <v>4200</v>
      </c>
      <c r="J41" s="70">
        <v>4890</v>
      </c>
      <c r="K41" s="70">
        <v>5300</v>
      </c>
      <c r="L41" s="70">
        <v>5800</v>
      </c>
      <c r="M41" s="70">
        <v>2000</v>
      </c>
      <c r="N41" s="70">
        <v>1300</v>
      </c>
      <c r="O41" s="70">
        <v>0</v>
      </c>
      <c r="P41" s="44"/>
      <c r="Q41" s="70" cm="1">
        <f t="array" ref="Q41">SUM(D41:O41)</f>
        <v>29740</v>
      </c>
      <c r="R41" s="39"/>
      <c r="S41" s="31"/>
      <c r="T41" s="31"/>
      <c r="U41" s="31"/>
      <c r="V41" s="31"/>
      <c r="W41" s="31"/>
      <c r="X41" s="31"/>
      <c r="Y41" s="45"/>
    </row>
    <row r="42" ht="20" customHeight="1">
      <c r="A42" s="40"/>
      <c r="B42" t="s" s="68">
        <v>114</v>
      </c>
      <c r="C42" t="s" s="94">
        <v>113</v>
      </c>
      <c r="D42" s="70">
        <v>0</v>
      </c>
      <c r="E42" s="70">
        <v>0</v>
      </c>
      <c r="F42" s="70">
        <v>0</v>
      </c>
      <c r="G42" s="70">
        <v>0</v>
      </c>
      <c r="H42" s="70">
        <v>0</v>
      </c>
      <c r="I42" s="70">
        <v>0</v>
      </c>
      <c r="J42" s="70">
        <v>0</v>
      </c>
      <c r="K42" s="70">
        <v>0</v>
      </c>
      <c r="L42" s="70">
        <v>0</v>
      </c>
      <c r="M42" s="70">
        <v>0</v>
      </c>
      <c r="N42" s="70">
        <v>0</v>
      </c>
      <c r="O42" s="70">
        <v>0</v>
      </c>
      <c r="P42" s="96"/>
      <c r="Q42" s="70" cm="1">
        <f t="array" ref="Q42">SUM(D42:O42)</f>
        <v>0</v>
      </c>
      <c r="R42" s="47"/>
      <c r="S42" s="18"/>
      <c r="T42" s="18"/>
      <c r="U42" s="18"/>
      <c r="V42" s="18"/>
      <c r="W42" s="18"/>
      <c r="X42" s="18"/>
      <c r="Y42" s="19"/>
    </row>
    <row r="43" ht="20" customHeight="1">
      <c r="A43" s="40"/>
      <c r="B43" t="s" s="68">
        <v>115</v>
      </c>
      <c r="C43" t="s" s="111">
        <v>48</v>
      </c>
      <c r="D43" s="70">
        <v>0</v>
      </c>
      <c r="E43" s="70">
        <v>4000</v>
      </c>
      <c r="F43" s="70">
        <v>4000</v>
      </c>
      <c r="G43" s="70">
        <v>0</v>
      </c>
      <c r="H43" s="70">
        <v>0</v>
      </c>
      <c r="I43" s="70">
        <v>0</v>
      </c>
      <c r="J43" s="70">
        <v>0</v>
      </c>
      <c r="K43" s="70">
        <v>0</v>
      </c>
      <c r="L43" s="70">
        <v>0</v>
      </c>
      <c r="M43" s="70">
        <v>0</v>
      </c>
      <c r="N43" s="70">
        <v>0</v>
      </c>
      <c r="O43" s="70">
        <v>0</v>
      </c>
      <c r="P43" s="96"/>
      <c r="Q43" s="70" cm="1">
        <f t="array" ref="Q43">SUM(D43:O43)</f>
        <v>8000</v>
      </c>
      <c r="R43" s="47"/>
      <c r="S43" s="18"/>
      <c r="T43" s="18"/>
      <c r="U43" s="18"/>
      <c r="V43" s="18"/>
      <c r="W43" s="18"/>
      <c r="X43" s="18"/>
      <c r="Y43" s="19"/>
    </row>
    <row r="44" ht="20" customHeight="1">
      <c r="A44" s="40"/>
      <c r="B44" t="s" s="68">
        <v>116</v>
      </c>
      <c r="C44" t="s" s="111">
        <v>113</v>
      </c>
      <c r="D44" s="70">
        <v>0</v>
      </c>
      <c r="E44" s="70">
        <v>11200</v>
      </c>
      <c r="F44" s="70">
        <v>11200</v>
      </c>
      <c r="G44" s="70">
        <v>11200</v>
      </c>
      <c r="H44" s="70">
        <v>0</v>
      </c>
      <c r="I44" s="70">
        <v>0</v>
      </c>
      <c r="J44" s="70">
        <v>0</v>
      </c>
      <c r="K44" s="70">
        <v>0</v>
      </c>
      <c r="L44" s="70">
        <v>0</v>
      </c>
      <c r="M44" s="70">
        <v>0</v>
      </c>
      <c r="N44" s="70">
        <v>0</v>
      </c>
      <c r="O44" s="70">
        <v>0</v>
      </c>
      <c r="P44" s="44"/>
      <c r="Q44" s="70" cm="1">
        <f t="array" ref="Q44">SUM(D44:O44)</f>
        <v>33600</v>
      </c>
      <c r="R44" s="39"/>
      <c r="S44" s="18"/>
      <c r="T44" s="18"/>
      <c r="U44" s="18"/>
      <c r="V44" s="18"/>
      <c r="W44" s="18"/>
      <c r="X44" s="18"/>
      <c r="Y44" s="19"/>
    </row>
    <row r="45" ht="20" customHeight="1">
      <c r="A45" s="40"/>
      <c r="B45" t="s" s="68">
        <v>117</v>
      </c>
      <c r="C45" t="s" s="111">
        <v>48</v>
      </c>
      <c r="D45" s="70">
        <v>0</v>
      </c>
      <c r="E45" s="70">
        <v>4500</v>
      </c>
      <c r="F45" s="70">
        <v>4500</v>
      </c>
      <c r="G45" s="70">
        <v>4500</v>
      </c>
      <c r="H45" s="70">
        <v>4500</v>
      </c>
      <c r="I45" s="70">
        <v>0</v>
      </c>
      <c r="J45" s="70">
        <v>0</v>
      </c>
      <c r="K45" s="70">
        <v>0</v>
      </c>
      <c r="L45" s="70">
        <v>0</v>
      </c>
      <c r="M45" s="70">
        <v>0</v>
      </c>
      <c r="N45" s="70">
        <v>0</v>
      </c>
      <c r="O45" s="70">
        <v>0</v>
      </c>
      <c r="P45" s="44"/>
      <c r="Q45" s="70" cm="1">
        <f t="array" ref="Q45">SUM(D45:O45)</f>
        <v>18000</v>
      </c>
      <c r="R45" s="39"/>
      <c r="S45" s="18"/>
      <c r="T45" s="18"/>
      <c r="U45" s="18"/>
      <c r="V45" s="18"/>
      <c r="W45" s="18"/>
      <c r="X45" s="18"/>
      <c r="Y45" s="19"/>
    </row>
    <row r="46" ht="20" customHeight="1">
      <c r="A46" s="40"/>
      <c r="B46" t="s" s="68">
        <v>118</v>
      </c>
      <c r="C46" t="s" s="111">
        <v>113</v>
      </c>
      <c r="D46" s="70">
        <v>0</v>
      </c>
      <c r="E46" s="70">
        <v>0</v>
      </c>
      <c r="F46" s="70">
        <v>0</v>
      </c>
      <c r="G46" s="70">
        <v>2400</v>
      </c>
      <c r="H46" s="70">
        <v>1630</v>
      </c>
      <c r="I46" s="70">
        <v>1630</v>
      </c>
      <c r="J46" s="70">
        <v>1630</v>
      </c>
      <c r="K46" s="70">
        <v>1630</v>
      </c>
      <c r="L46" s="70">
        <v>1630</v>
      </c>
      <c r="M46" s="70">
        <v>1630</v>
      </c>
      <c r="N46" s="70">
        <v>1630</v>
      </c>
      <c r="O46" s="70">
        <v>0</v>
      </c>
      <c r="P46" s="96"/>
      <c r="Q46" s="70" cm="1">
        <f t="array" ref="Q46">SUM(D46:O46)</f>
        <v>13810</v>
      </c>
      <c r="R46" s="47"/>
      <c r="S46" s="18"/>
      <c r="T46" s="18"/>
      <c r="U46" s="18"/>
      <c r="V46" s="18"/>
      <c r="W46" s="18"/>
      <c r="X46" s="18"/>
      <c r="Y46" s="19"/>
    </row>
    <row r="47" ht="20" customHeight="1">
      <c r="A47" s="93"/>
      <c r="B47" t="s" s="68">
        <v>119</v>
      </c>
      <c r="C47" t="s" s="111">
        <v>113</v>
      </c>
      <c r="D47" s="70">
        <v>0</v>
      </c>
      <c r="E47" s="70">
        <v>0</v>
      </c>
      <c r="F47" s="70">
        <v>0</v>
      </c>
      <c r="G47" s="70">
        <v>0</v>
      </c>
      <c r="H47" s="70">
        <v>2450</v>
      </c>
      <c r="I47" s="70">
        <v>2450</v>
      </c>
      <c r="J47" s="70">
        <v>2450</v>
      </c>
      <c r="K47" s="70">
        <v>2450</v>
      </c>
      <c r="L47" s="70">
        <v>2450</v>
      </c>
      <c r="M47" s="70">
        <v>2450</v>
      </c>
      <c r="N47" s="70">
        <v>2450</v>
      </c>
      <c r="O47" s="70">
        <v>0</v>
      </c>
      <c r="P47" s="44"/>
      <c r="Q47" s="70" cm="1">
        <f t="array" ref="Q47">SUM(D47:O47)</f>
        <v>17150</v>
      </c>
      <c r="R47" s="39"/>
      <c r="S47" s="31"/>
      <c r="T47" s="31"/>
      <c r="U47" s="31"/>
      <c r="V47" s="31"/>
      <c r="W47" s="31"/>
      <c r="X47" s="31"/>
      <c r="Y47" s="45"/>
    </row>
    <row r="48" ht="20" customHeight="1">
      <c r="A48" s="93"/>
      <c r="B48" t="s" s="68">
        <v>120</v>
      </c>
      <c r="C48" t="s" s="111">
        <v>113</v>
      </c>
      <c r="D48" s="70">
        <v>0</v>
      </c>
      <c r="E48" s="70">
        <v>0</v>
      </c>
      <c r="F48" s="70">
        <v>0</v>
      </c>
      <c r="G48" s="70">
        <v>0</v>
      </c>
      <c r="H48" s="70">
        <v>2200</v>
      </c>
      <c r="I48" s="70">
        <v>2200</v>
      </c>
      <c r="J48" s="70">
        <v>2200</v>
      </c>
      <c r="K48" s="70">
        <v>2200</v>
      </c>
      <c r="L48" s="70">
        <v>2200</v>
      </c>
      <c r="M48" s="70">
        <v>2200</v>
      </c>
      <c r="N48" s="70">
        <v>2200</v>
      </c>
      <c r="O48" s="70">
        <v>0</v>
      </c>
      <c r="P48" s="44"/>
      <c r="Q48" s="70" cm="1">
        <f t="array" ref="Q48">SUM(D48:O48)</f>
        <v>15400</v>
      </c>
      <c r="R48" s="39"/>
      <c r="S48" s="31"/>
      <c r="T48" s="31"/>
      <c r="U48" s="31"/>
      <c r="V48" s="31"/>
      <c r="W48" s="31"/>
      <c r="X48" s="31"/>
      <c r="Y48" s="45"/>
    </row>
    <row r="49" ht="20" customHeight="1">
      <c r="A49" s="93"/>
      <c r="B49" t="s" s="68">
        <v>121</v>
      </c>
      <c r="C49" t="s" s="111">
        <v>122</v>
      </c>
      <c r="D49" s="70">
        <v>0</v>
      </c>
      <c r="E49" s="70">
        <v>0</v>
      </c>
      <c r="F49" s="70">
        <v>0</v>
      </c>
      <c r="G49" s="70">
        <v>0</v>
      </c>
      <c r="H49" s="70">
        <v>1300</v>
      </c>
      <c r="I49" s="70">
        <v>1300</v>
      </c>
      <c r="J49" s="70">
        <v>1300</v>
      </c>
      <c r="K49" s="70">
        <v>1300</v>
      </c>
      <c r="L49" s="70">
        <v>1300</v>
      </c>
      <c r="M49" s="70">
        <v>1300</v>
      </c>
      <c r="N49" s="70">
        <v>1300</v>
      </c>
      <c r="O49" s="70">
        <v>0</v>
      </c>
      <c r="P49" s="44"/>
      <c r="Q49" s="70" cm="1">
        <f t="array" ref="Q49">SUM(D49:O49)</f>
        <v>9100</v>
      </c>
      <c r="R49" s="39"/>
      <c r="S49" s="31"/>
      <c r="T49" s="31"/>
      <c r="U49" s="31"/>
      <c r="V49" s="31"/>
      <c r="W49" s="31"/>
      <c r="X49" s="31"/>
      <c r="Y49" s="45"/>
    </row>
    <row r="50" ht="20" customHeight="1">
      <c r="A50" s="93"/>
      <c r="B50" t="s" s="68">
        <v>123</v>
      </c>
      <c r="C50" t="s" s="111">
        <v>113</v>
      </c>
      <c r="D50" s="70">
        <v>0</v>
      </c>
      <c r="E50" s="70">
        <v>0</v>
      </c>
      <c r="F50" s="70">
        <v>0</v>
      </c>
      <c r="G50" s="70">
        <v>0</v>
      </c>
      <c r="H50" s="70">
        <v>2300</v>
      </c>
      <c r="I50" s="70">
        <v>2300</v>
      </c>
      <c r="J50" s="70">
        <v>2300</v>
      </c>
      <c r="K50" s="70">
        <v>2300</v>
      </c>
      <c r="L50" s="70">
        <v>2300</v>
      </c>
      <c r="M50" s="70">
        <v>2300</v>
      </c>
      <c r="N50" s="70">
        <v>2300</v>
      </c>
      <c r="O50" s="70">
        <v>0</v>
      </c>
      <c r="P50" s="44"/>
      <c r="Q50" s="70" cm="1">
        <f t="array" ref="Q50">SUM(D50:O50)</f>
        <v>16100</v>
      </c>
      <c r="R50" s="39"/>
      <c r="S50" s="31"/>
      <c r="T50" s="31"/>
      <c r="U50" s="31"/>
      <c r="V50" s="31"/>
      <c r="W50" s="31"/>
      <c r="X50" s="31"/>
      <c r="Y50" s="45"/>
    </row>
    <row r="51" ht="20" customHeight="1">
      <c r="A51" s="93"/>
      <c r="B51" t="s" s="68">
        <v>124</v>
      </c>
      <c r="C51" t="s" s="111">
        <v>113</v>
      </c>
      <c r="D51" s="70">
        <v>0</v>
      </c>
      <c r="E51" s="70">
        <v>0</v>
      </c>
      <c r="F51" s="70">
        <v>0</v>
      </c>
      <c r="G51" s="70">
        <v>0</v>
      </c>
      <c r="H51" s="70">
        <v>1420</v>
      </c>
      <c r="I51" s="70">
        <v>1420</v>
      </c>
      <c r="J51" s="70">
        <v>1420</v>
      </c>
      <c r="K51" s="70">
        <v>1420</v>
      </c>
      <c r="L51" s="70">
        <v>1420</v>
      </c>
      <c r="M51" s="70">
        <v>1420</v>
      </c>
      <c r="N51" s="70">
        <v>1420</v>
      </c>
      <c r="O51" s="70">
        <v>0</v>
      </c>
      <c r="P51" s="44"/>
      <c r="Q51" s="70" cm="1">
        <f t="array" ref="Q51">SUM(D51:O51)</f>
        <v>9940</v>
      </c>
      <c r="R51" s="39"/>
      <c r="S51" s="31"/>
      <c r="T51" s="31"/>
      <c r="U51" s="31"/>
      <c r="V51" s="31"/>
      <c r="W51" s="31"/>
      <c r="X51" s="31"/>
      <c r="Y51" s="45"/>
    </row>
    <row r="52" ht="20" customHeight="1">
      <c r="A52" s="93"/>
      <c r="B52" t="s" s="68">
        <v>125</v>
      </c>
      <c r="C52" t="s" s="111">
        <v>103</v>
      </c>
      <c r="D52" s="70">
        <v>0</v>
      </c>
      <c r="E52" s="70">
        <v>0</v>
      </c>
      <c r="F52" s="70">
        <v>0</v>
      </c>
      <c r="G52" s="70">
        <v>0</v>
      </c>
      <c r="H52" s="70">
        <v>1850</v>
      </c>
      <c r="I52" s="70">
        <v>1850</v>
      </c>
      <c r="J52" s="70">
        <v>1850</v>
      </c>
      <c r="K52" s="70">
        <v>1850</v>
      </c>
      <c r="L52" s="70">
        <v>1850</v>
      </c>
      <c r="M52" s="70">
        <v>1850</v>
      </c>
      <c r="N52" s="70">
        <v>1850</v>
      </c>
      <c r="O52" s="70">
        <v>0</v>
      </c>
      <c r="P52" s="44"/>
      <c r="Q52" s="70" cm="1">
        <f t="array" ref="Q52">SUM(D52:O52)</f>
        <v>12950</v>
      </c>
      <c r="R52" s="39"/>
      <c r="S52" s="31"/>
      <c r="T52" s="31"/>
      <c r="U52" s="31"/>
      <c r="V52" s="31"/>
      <c r="W52" s="31"/>
      <c r="X52" s="31"/>
      <c r="Y52" s="45"/>
    </row>
    <row r="53" ht="20" customHeight="1">
      <c r="A53" s="93"/>
      <c r="B53" t="s" s="68">
        <v>126</v>
      </c>
      <c r="C53" t="s" s="111">
        <v>103</v>
      </c>
      <c r="D53" s="70">
        <v>0</v>
      </c>
      <c r="E53" s="70">
        <v>0</v>
      </c>
      <c r="F53" s="70">
        <v>0</v>
      </c>
      <c r="G53" s="70">
        <v>0</v>
      </c>
      <c r="H53" s="70">
        <v>1200</v>
      </c>
      <c r="I53" s="70">
        <v>1200</v>
      </c>
      <c r="J53" s="70">
        <v>1200</v>
      </c>
      <c r="K53" s="70">
        <v>1200</v>
      </c>
      <c r="L53" s="70">
        <v>1200</v>
      </c>
      <c r="M53" s="70">
        <v>1200</v>
      </c>
      <c r="N53" s="70">
        <v>1200</v>
      </c>
      <c r="O53" s="70">
        <v>0</v>
      </c>
      <c r="P53" s="44"/>
      <c r="Q53" s="70" cm="1">
        <f t="array" ref="Q53">SUM(D53:O53)</f>
        <v>8400</v>
      </c>
      <c r="R53" s="39"/>
      <c r="S53" s="31"/>
      <c r="T53" s="31"/>
      <c r="U53" s="31"/>
      <c r="V53" s="31"/>
      <c r="W53" s="31"/>
      <c r="X53" s="31"/>
      <c r="Y53" s="45"/>
    </row>
    <row r="54" ht="20" customHeight="1">
      <c r="A54" s="93"/>
      <c r="B54" t="s" s="68">
        <v>127</v>
      </c>
      <c r="C54" t="s" s="111">
        <v>103</v>
      </c>
      <c r="D54" s="70">
        <v>0</v>
      </c>
      <c r="E54" s="70">
        <v>0</v>
      </c>
      <c r="F54" s="70">
        <v>0</v>
      </c>
      <c r="G54" s="70">
        <v>0</v>
      </c>
      <c r="H54" s="70">
        <v>1300</v>
      </c>
      <c r="I54" s="70">
        <v>1300</v>
      </c>
      <c r="J54" s="70">
        <v>1300</v>
      </c>
      <c r="K54" s="70">
        <v>1300</v>
      </c>
      <c r="L54" s="70">
        <v>1300</v>
      </c>
      <c r="M54" s="70">
        <v>1300</v>
      </c>
      <c r="N54" s="70">
        <v>1300</v>
      </c>
      <c r="O54" s="70">
        <v>0</v>
      </c>
      <c r="P54" s="44"/>
      <c r="Q54" s="70" cm="1">
        <f t="array" ref="Q54">SUM(D54:O54)</f>
        <v>9100</v>
      </c>
      <c r="R54" s="39"/>
      <c r="S54" s="31"/>
      <c r="T54" s="31"/>
      <c r="U54" s="31"/>
      <c r="V54" s="31"/>
      <c r="W54" s="31"/>
      <c r="X54" s="31"/>
      <c r="Y54" s="45"/>
    </row>
    <row r="55" ht="20" customHeight="1">
      <c r="A55" s="93"/>
      <c r="B55" t="s" s="68">
        <v>128</v>
      </c>
      <c r="C55" t="s" s="111">
        <v>103</v>
      </c>
      <c r="D55" s="70">
        <v>0</v>
      </c>
      <c r="E55" s="70">
        <v>0</v>
      </c>
      <c r="F55" s="70">
        <v>0</v>
      </c>
      <c r="G55" s="70">
        <v>0</v>
      </c>
      <c r="H55" s="70">
        <v>1700</v>
      </c>
      <c r="I55" s="70">
        <v>1700</v>
      </c>
      <c r="J55" s="70">
        <v>1700</v>
      </c>
      <c r="K55" s="70">
        <v>1700</v>
      </c>
      <c r="L55" s="70">
        <v>1700</v>
      </c>
      <c r="M55" s="70">
        <v>1700</v>
      </c>
      <c r="N55" s="70">
        <v>1700</v>
      </c>
      <c r="O55" s="70">
        <v>0</v>
      </c>
      <c r="P55" s="44"/>
      <c r="Q55" s="70" cm="1">
        <f t="array" ref="Q55">SUM(D55:O55)</f>
        <v>11900</v>
      </c>
      <c r="R55" s="39"/>
      <c r="S55" s="31"/>
      <c r="T55" s="31"/>
      <c r="U55" s="31"/>
      <c r="V55" s="31"/>
      <c r="W55" s="31"/>
      <c r="X55" s="31"/>
      <c r="Y55" s="45"/>
    </row>
    <row r="56" ht="20" customHeight="1">
      <c r="A56" s="40"/>
      <c r="B56" t="s" s="72">
        <v>51</v>
      </c>
      <c r="C56" s="42"/>
      <c r="D56" s="43" cm="1">
        <f t="array" ref="D56">SUM(D41:D55)</f>
        <v>0</v>
      </c>
      <c r="E56" s="43" cm="1">
        <f t="array" ref="E56">SUM(E41:E55)</f>
        <v>19700</v>
      </c>
      <c r="F56" s="43" cm="1">
        <f t="array" ref="F56">SUM(F41:F55)</f>
        <v>20500</v>
      </c>
      <c r="G56" s="43" cm="1">
        <f t="array" ref="G56">SUM(G41:G55)</f>
        <v>20100</v>
      </c>
      <c r="H56" s="43" cm="1">
        <f t="array" ref="H56">SUM(H41:H55)</f>
        <v>25300</v>
      </c>
      <c r="I56" s="43" cm="1">
        <f t="array" ref="I56">SUM(I41:I55)</f>
        <v>21550</v>
      </c>
      <c r="J56" s="43" cm="1">
        <f t="array" ref="J56">SUM(J41:J55)</f>
        <v>22240</v>
      </c>
      <c r="K56" s="43" cm="1">
        <f t="array" ref="K56">SUM(K41:K55)</f>
        <v>22650</v>
      </c>
      <c r="L56" s="43" cm="1">
        <f t="array" ref="L56">SUM(L41:L55)</f>
        <v>23150</v>
      </c>
      <c r="M56" s="43" cm="1">
        <f t="array" ref="M56">SUM(M41:M55)</f>
        <v>19350</v>
      </c>
      <c r="N56" s="43" cm="1">
        <f t="array" ref="N56">SUM(N41:N55)</f>
        <v>18650</v>
      </c>
      <c r="O56" s="43" cm="1">
        <f t="array" ref="O56">SUM(O41:O55)</f>
        <v>0</v>
      </c>
      <c r="P56" s="96"/>
      <c r="Q56" s="43" cm="1">
        <f t="array" ref="Q56">SUM(Q41:Q55)</f>
        <v>213190</v>
      </c>
      <c r="R56" s="47"/>
      <c r="S56" s="18"/>
      <c r="T56" s="18"/>
      <c r="U56" s="18"/>
      <c r="V56" s="18"/>
      <c r="W56" s="18"/>
      <c r="X56" s="18"/>
      <c r="Y56" s="19"/>
    </row>
    <row r="57" ht="20" customHeight="1">
      <c r="A57" s="27"/>
      <c r="B57" s="97"/>
      <c r="C57" s="74"/>
      <c r="D57" s="97"/>
      <c r="E57" s="97"/>
      <c r="F57" s="97"/>
      <c r="G57" s="97"/>
      <c r="H57" s="97"/>
      <c r="I57" s="97"/>
      <c r="J57" s="97"/>
      <c r="K57" s="97"/>
      <c r="L57" s="97"/>
      <c r="M57" s="97"/>
      <c r="N57" s="97"/>
      <c r="O57" s="97"/>
      <c r="P57" s="18"/>
      <c r="Q57" s="97"/>
      <c r="R57" s="18"/>
      <c r="S57" s="18"/>
      <c r="T57" s="18"/>
      <c r="U57" s="18"/>
      <c r="V57" s="18"/>
      <c r="W57" s="18"/>
      <c r="X57" s="18"/>
      <c r="Y57" s="19"/>
    </row>
    <row r="58" ht="20" customHeight="1">
      <c r="A58" s="40"/>
      <c r="B58" t="s" s="92">
        <v>52</v>
      </c>
      <c r="C58" t="s" s="67">
        <v>11</v>
      </c>
      <c r="D58" t="s" s="67">
        <v>12</v>
      </c>
      <c r="E58" t="s" s="67">
        <v>13</v>
      </c>
      <c r="F58" t="s" s="67">
        <v>14</v>
      </c>
      <c r="G58" t="s" s="67">
        <v>15</v>
      </c>
      <c r="H58" t="s" s="67">
        <v>16</v>
      </c>
      <c r="I58" t="s" s="67">
        <v>17</v>
      </c>
      <c r="J58" t="s" s="67">
        <v>18</v>
      </c>
      <c r="K58" t="s" s="67">
        <v>19</v>
      </c>
      <c r="L58" t="s" s="67">
        <v>20</v>
      </c>
      <c r="M58" t="s" s="67">
        <v>21</v>
      </c>
      <c r="N58" t="s" s="67">
        <v>22</v>
      </c>
      <c r="O58" t="s" s="67">
        <v>23</v>
      </c>
      <c r="P58" s="46"/>
      <c r="Q58" t="s" s="67">
        <v>24</v>
      </c>
      <c r="R58" s="47"/>
      <c r="S58" s="18"/>
      <c r="T58" s="18"/>
      <c r="U58" s="18"/>
      <c r="V58" s="18"/>
      <c r="W58" s="18"/>
      <c r="X58" s="18"/>
      <c r="Y58" s="19"/>
    </row>
    <row r="59" ht="20" customHeight="1">
      <c r="A59" s="40"/>
      <c r="B59" t="s" s="68">
        <v>129</v>
      </c>
      <c r="C59" t="s" s="68">
        <v>130</v>
      </c>
      <c r="D59" s="70" cm="1">
        <f t="array" ref="D59">SUM(1800*D15)</f>
        <v>0</v>
      </c>
      <c r="E59" s="70" cm="1">
        <f t="array" ref="E59">SUM(1800*E16)</f>
        <v>5400</v>
      </c>
      <c r="F59" s="70" cm="1">
        <f t="array" ref="F59">SUM(1800*F16)</f>
        <v>10800</v>
      </c>
      <c r="G59" s="70" cm="1">
        <f t="array" ref="G59">SUM(1800*G16)</f>
        <v>16200</v>
      </c>
      <c r="H59" s="70" cm="1">
        <f t="array" ref="H59">SUM(1800*H16)</f>
        <v>23400</v>
      </c>
      <c r="I59" s="70" cm="1">
        <f t="array" ref="I59">SUM(1800*I16)</f>
        <v>18000</v>
      </c>
      <c r="J59" s="70" cm="1">
        <f t="array" ref="J59">SUM(1800*J16)</f>
        <v>14400</v>
      </c>
      <c r="K59" s="70" cm="1">
        <f t="array" ref="K59">SUM(1800*K16)</f>
        <v>5400</v>
      </c>
      <c r="L59" s="70" cm="1">
        <f t="array" ref="L59">SUM(1800*L16)</f>
        <v>28800</v>
      </c>
      <c r="M59" s="70" cm="1">
        <f t="array" ref="M59">SUM(1800*M16)</f>
        <v>14400</v>
      </c>
      <c r="N59" s="70" cm="1">
        <f t="array" ref="N59">SUM(1800*N16)</f>
        <v>10800</v>
      </c>
      <c r="O59" s="70" cm="1">
        <f t="array" ref="O59">SUM(1800*O16)</f>
        <v>0</v>
      </c>
      <c r="P59" s="46"/>
      <c r="Q59" s="70" cm="1">
        <f t="array" ref="Q59">SUM(D59:O59)</f>
        <v>147600</v>
      </c>
      <c r="R59" s="47"/>
      <c r="S59" s="18"/>
      <c r="T59" s="18"/>
      <c r="U59" s="18"/>
      <c r="V59" s="18"/>
      <c r="W59" s="18"/>
      <c r="X59" s="18"/>
      <c r="Y59" s="19"/>
    </row>
    <row r="60" ht="20" customHeight="1">
      <c r="A60" s="40"/>
      <c r="B60" t="s" s="68">
        <v>131</v>
      </c>
      <c r="C60" t="s" s="68">
        <v>132</v>
      </c>
      <c r="D60" s="70" cm="1">
        <f t="array" ref="D60">SUM(600*D15)</f>
        <v>0</v>
      </c>
      <c r="E60" s="70" cm="1">
        <f t="array" ref="E60">SUM(600*E17)</f>
        <v>10200</v>
      </c>
      <c r="F60" s="70" cm="1">
        <f t="array" ref="F60">SUM(600*F17)</f>
        <v>8400</v>
      </c>
      <c r="G60" s="70" cm="1">
        <f t="array" ref="G60">SUM(600*G17)</f>
        <v>12600</v>
      </c>
      <c r="H60" s="70" cm="1">
        <f t="array" ref="H60">SUM(600*H17)</f>
        <v>17400</v>
      </c>
      <c r="I60" s="70" cm="1">
        <f t="array" ref="I60">SUM(600*I17)</f>
        <v>13800</v>
      </c>
      <c r="J60" s="70" cm="1">
        <f t="array" ref="J60">SUM(600*J17)</f>
        <v>15000</v>
      </c>
      <c r="K60" s="70" cm="1">
        <f t="array" ref="K60">SUM(600*K17)</f>
        <v>9600</v>
      </c>
      <c r="L60" s="70" cm="1">
        <f t="array" ref="L60">SUM(600*L17)</f>
        <v>18000</v>
      </c>
      <c r="M60" s="70" cm="1">
        <f t="array" ref="M60">SUM(600*M17)</f>
        <v>16800</v>
      </c>
      <c r="N60" s="70" cm="1">
        <f t="array" ref="N60">SUM(600*N17)</f>
        <v>7800</v>
      </c>
      <c r="O60" s="70" cm="1">
        <f t="array" ref="O60">SUM(600*O17)</f>
        <v>0</v>
      </c>
      <c r="P60" s="46"/>
      <c r="Q60" s="70" cm="1">
        <f t="array" ref="Q60">SUM(D60:O60)</f>
        <v>129600</v>
      </c>
      <c r="R60" s="47"/>
      <c r="S60" s="18"/>
      <c r="T60" s="18"/>
      <c r="U60" s="18"/>
      <c r="V60" s="18"/>
      <c r="W60" s="18"/>
      <c r="X60" s="18"/>
      <c r="Y60" s="19"/>
    </row>
    <row r="61" ht="20" customHeight="1">
      <c r="A61" s="40"/>
      <c r="B61" t="s" s="68">
        <v>133</v>
      </c>
      <c r="C61" t="s" s="68">
        <v>134</v>
      </c>
      <c r="D61" s="70" cm="1">
        <f t="array" ref="D61">SUM(120*D15)</f>
        <v>0</v>
      </c>
      <c r="E61" s="70" cm="1">
        <f t="array" ref="E61">SUM(120*E17)</f>
        <v>2040</v>
      </c>
      <c r="F61" s="70" cm="1">
        <f t="array" ref="F61">SUM(120*F17)</f>
        <v>1680</v>
      </c>
      <c r="G61" s="70" cm="1">
        <f t="array" ref="G61">SUM(120*G17)</f>
        <v>2520</v>
      </c>
      <c r="H61" s="70" cm="1">
        <f t="array" ref="H61">SUM(120*H17)</f>
        <v>3480</v>
      </c>
      <c r="I61" s="70" cm="1">
        <f t="array" ref="I61">SUM(120*I17)</f>
        <v>2760</v>
      </c>
      <c r="J61" s="70" cm="1">
        <f t="array" ref="J61">SUM(120*J17)</f>
        <v>3000</v>
      </c>
      <c r="K61" s="70" cm="1">
        <f t="array" ref="K61">SUM(120*K17)</f>
        <v>1920</v>
      </c>
      <c r="L61" s="70" cm="1">
        <f t="array" ref="L61">SUM(120*L17)</f>
        <v>3600</v>
      </c>
      <c r="M61" s="70" cm="1">
        <f t="array" ref="M61">SUM(120*M17)</f>
        <v>3360</v>
      </c>
      <c r="N61" s="70" cm="1">
        <f t="array" ref="N61">SUM(120*N17)</f>
        <v>1560</v>
      </c>
      <c r="O61" s="70" cm="1">
        <f t="array" ref="O61">SUM(120*O17)</f>
        <v>0</v>
      </c>
      <c r="P61" s="46"/>
      <c r="Q61" s="70" cm="1">
        <f t="array" ref="Q61">SUM(D61:O61)</f>
        <v>25920</v>
      </c>
      <c r="R61" s="47"/>
      <c r="S61" s="18"/>
      <c r="T61" s="18"/>
      <c r="U61" s="18"/>
      <c r="V61" s="18"/>
      <c r="W61" s="18"/>
      <c r="X61" s="18"/>
      <c r="Y61" s="19"/>
    </row>
    <row r="62" ht="20" customHeight="1">
      <c r="A62" s="40"/>
      <c r="B62" t="s" s="68">
        <v>58</v>
      </c>
      <c r="C62" t="s" s="68">
        <v>59</v>
      </c>
      <c r="D62" s="70">
        <v>166</v>
      </c>
      <c r="E62" s="70">
        <v>166</v>
      </c>
      <c r="F62" s="70">
        <v>166</v>
      </c>
      <c r="G62" s="70">
        <v>166</v>
      </c>
      <c r="H62" s="70">
        <v>166</v>
      </c>
      <c r="I62" s="70">
        <v>166</v>
      </c>
      <c r="J62" s="70">
        <v>166</v>
      </c>
      <c r="K62" s="70">
        <v>166</v>
      </c>
      <c r="L62" s="70">
        <v>166</v>
      </c>
      <c r="M62" s="70">
        <v>166</v>
      </c>
      <c r="N62" s="70">
        <v>166</v>
      </c>
      <c r="O62" s="70">
        <v>0</v>
      </c>
      <c r="P62" s="46"/>
      <c r="Q62" s="70" cm="1">
        <f t="array" ref="Q62">SUM(D62:O62)</f>
        <v>1826</v>
      </c>
      <c r="R62" s="47"/>
      <c r="S62" s="18"/>
      <c r="T62" s="18"/>
      <c r="U62" s="18"/>
      <c r="V62" s="18"/>
      <c r="W62" s="18"/>
      <c r="X62" s="18"/>
      <c r="Y62" s="19"/>
    </row>
    <row r="63" ht="20" customHeight="1">
      <c r="A63" s="40"/>
      <c r="B63" t="s" s="68">
        <v>50</v>
      </c>
      <c r="C63" s="79"/>
      <c r="D63" s="70">
        <v>0</v>
      </c>
      <c r="E63" s="70">
        <v>0</v>
      </c>
      <c r="F63" s="70">
        <v>0</v>
      </c>
      <c r="G63" s="70">
        <v>0</v>
      </c>
      <c r="H63" s="70">
        <v>0</v>
      </c>
      <c r="I63" s="70">
        <v>0</v>
      </c>
      <c r="J63" s="70">
        <v>0</v>
      </c>
      <c r="K63" s="70">
        <v>0</v>
      </c>
      <c r="L63" s="70">
        <v>0</v>
      </c>
      <c r="M63" s="70">
        <v>0</v>
      </c>
      <c r="N63" s="70">
        <v>0</v>
      </c>
      <c r="O63" s="70">
        <v>0</v>
      </c>
      <c r="P63" s="46"/>
      <c r="Q63" s="70" cm="1">
        <f t="array" ref="Q63">SUM(D63:O63)</f>
        <v>0</v>
      </c>
      <c r="R63" s="47"/>
      <c r="S63" s="18"/>
      <c r="T63" s="18"/>
      <c r="U63" s="18"/>
      <c r="V63" s="18"/>
      <c r="W63" s="18"/>
      <c r="X63" s="18"/>
      <c r="Y63" s="19"/>
    </row>
    <row r="64" ht="20" customHeight="1">
      <c r="A64" s="40"/>
      <c r="B64" s="98"/>
      <c r="C64" s="42"/>
      <c r="D64" s="43" cm="1">
        <f t="array" ref="D64">SUM(D59:D63)</f>
        <v>166</v>
      </c>
      <c r="E64" s="43" cm="1">
        <f t="array" ref="E64">SUM(E59:E63)</f>
        <v>17806</v>
      </c>
      <c r="F64" s="43" cm="1">
        <f t="array" ref="F64">SUM(F59:F63)</f>
        <v>21046</v>
      </c>
      <c r="G64" s="43" cm="1">
        <f t="array" ref="G64">SUM(G59:G63)</f>
        <v>31486</v>
      </c>
      <c r="H64" s="43" cm="1">
        <f t="array" ref="H64">SUM(H59:H63)</f>
        <v>44446</v>
      </c>
      <c r="I64" s="43" cm="1">
        <f t="array" ref="I64">SUM(I59:I63)</f>
        <v>34726</v>
      </c>
      <c r="J64" s="43" cm="1">
        <f t="array" ref="J64">SUM(J59:J63)</f>
        <v>32566</v>
      </c>
      <c r="K64" s="43" cm="1">
        <f t="array" ref="K64">SUM(K59:K63)</f>
        <v>17086</v>
      </c>
      <c r="L64" s="43" cm="1">
        <f t="array" ref="L64">SUM(L59:L63)</f>
        <v>50566</v>
      </c>
      <c r="M64" s="43" cm="1">
        <f t="array" ref="M64">SUM(M59:M63)</f>
        <v>34726</v>
      </c>
      <c r="N64" s="43" cm="1">
        <f t="array" ref="N64">SUM(N59:N63)</f>
        <v>20326</v>
      </c>
      <c r="O64" s="43" cm="1">
        <f t="array" ref="O64">SUM(O59:O63)</f>
        <v>0</v>
      </c>
      <c r="P64" s="46"/>
      <c r="Q64" s="43" cm="1">
        <f t="array" ref="Q64">SUM(Q59:Q63)</f>
        <v>304946</v>
      </c>
      <c r="R64" s="47"/>
      <c r="S64" s="18"/>
      <c r="T64" s="18"/>
      <c r="U64" s="18"/>
      <c r="V64" s="18"/>
      <c r="W64" s="18"/>
      <c r="X64" s="18"/>
      <c r="Y64" s="19"/>
    </row>
    <row r="65" ht="20" customHeight="1">
      <c r="A65" s="27"/>
      <c r="B65" s="97"/>
      <c r="C65" s="74"/>
      <c r="D65" s="97"/>
      <c r="E65" s="97"/>
      <c r="F65" s="97"/>
      <c r="G65" s="97"/>
      <c r="H65" s="97"/>
      <c r="I65" s="97"/>
      <c r="J65" s="97"/>
      <c r="K65" s="97"/>
      <c r="L65" s="97"/>
      <c r="M65" s="97"/>
      <c r="N65" s="97"/>
      <c r="O65" s="97"/>
      <c r="P65" s="18"/>
      <c r="Q65" s="97"/>
      <c r="R65" s="18"/>
      <c r="S65" s="18"/>
      <c r="T65" s="18"/>
      <c r="U65" s="18"/>
      <c r="V65" s="18"/>
      <c r="W65" s="18"/>
      <c r="X65" s="18"/>
      <c r="Y65" s="19"/>
    </row>
    <row r="66" ht="20" customHeight="1">
      <c r="A66" s="40"/>
      <c r="B66" t="s" s="92">
        <v>60</v>
      </c>
      <c r="C66" t="s" s="67">
        <v>11</v>
      </c>
      <c r="D66" t="s" s="67">
        <v>12</v>
      </c>
      <c r="E66" t="s" s="67">
        <v>13</v>
      </c>
      <c r="F66" t="s" s="67">
        <v>14</v>
      </c>
      <c r="G66" t="s" s="67">
        <v>15</v>
      </c>
      <c r="H66" t="s" s="67">
        <v>16</v>
      </c>
      <c r="I66" t="s" s="67">
        <v>17</v>
      </c>
      <c r="J66" t="s" s="67">
        <v>18</v>
      </c>
      <c r="K66" t="s" s="67">
        <v>19</v>
      </c>
      <c r="L66" t="s" s="67">
        <v>20</v>
      </c>
      <c r="M66" t="s" s="67">
        <v>21</v>
      </c>
      <c r="N66" t="s" s="67">
        <v>22</v>
      </c>
      <c r="O66" t="s" s="67">
        <v>23</v>
      </c>
      <c r="P66" s="46"/>
      <c r="Q66" t="s" s="67">
        <v>24</v>
      </c>
      <c r="R66" s="47"/>
      <c r="S66" s="18"/>
      <c r="T66" s="18"/>
      <c r="U66" s="18"/>
      <c r="V66" s="18"/>
      <c r="W66" s="18"/>
      <c r="X66" s="18"/>
      <c r="Y66" s="19"/>
    </row>
    <row r="67" ht="20" customHeight="1">
      <c r="A67" s="40"/>
      <c r="B67" t="s" s="68">
        <v>61</v>
      </c>
      <c r="C67" s="79"/>
      <c r="D67" s="70">
        <v>0</v>
      </c>
      <c r="E67" s="70">
        <v>0</v>
      </c>
      <c r="F67" s="70">
        <v>1204.98</v>
      </c>
      <c r="G67" s="70">
        <v>1025.5</v>
      </c>
      <c r="H67" s="70">
        <v>0</v>
      </c>
      <c r="I67" s="70">
        <v>0</v>
      </c>
      <c r="J67" s="70">
        <v>0</v>
      </c>
      <c r="K67" s="70">
        <v>0</v>
      </c>
      <c r="L67" s="70">
        <v>0</v>
      </c>
      <c r="M67" s="70">
        <v>0</v>
      </c>
      <c r="N67" s="70">
        <v>0</v>
      </c>
      <c r="O67" s="70">
        <v>0</v>
      </c>
      <c r="P67" s="46"/>
      <c r="Q67" s="70" cm="1">
        <f t="array" ref="Q67">SUM(D67:O67)</f>
        <v>2230.48</v>
      </c>
      <c r="R67" s="47"/>
      <c r="S67" s="18"/>
      <c r="T67" s="18"/>
      <c r="U67" s="18"/>
      <c r="V67" s="18"/>
      <c r="W67" s="18"/>
      <c r="X67" s="18"/>
      <c r="Y67" s="19"/>
    </row>
    <row r="68" ht="20" customHeight="1">
      <c r="A68" s="40"/>
      <c r="B68" t="s" s="68">
        <v>62</v>
      </c>
      <c r="C68" s="79"/>
      <c r="D68" s="70">
        <v>0</v>
      </c>
      <c r="E68" s="70">
        <v>0</v>
      </c>
      <c r="F68" s="70">
        <v>0</v>
      </c>
      <c r="G68" s="70">
        <v>0</v>
      </c>
      <c r="H68" s="70">
        <v>0</v>
      </c>
      <c r="I68" s="70">
        <v>0</v>
      </c>
      <c r="J68" s="70">
        <v>0</v>
      </c>
      <c r="K68" s="70">
        <v>0</v>
      </c>
      <c r="L68" s="70">
        <v>0</v>
      </c>
      <c r="M68" s="70">
        <v>0</v>
      </c>
      <c r="N68" s="70">
        <v>0</v>
      </c>
      <c r="O68" s="70">
        <v>0</v>
      </c>
      <c r="P68" s="46"/>
      <c r="Q68" s="70" cm="1">
        <f t="array" ref="Q68">SUM(D68:O68)</f>
        <v>0</v>
      </c>
      <c r="R68" s="47"/>
      <c r="S68" s="18"/>
      <c r="T68" s="18"/>
      <c r="U68" s="18"/>
      <c r="V68" s="18"/>
      <c r="W68" s="18"/>
      <c r="X68" s="18"/>
      <c r="Y68" s="19"/>
    </row>
    <row r="69" ht="20" customHeight="1">
      <c r="A69" s="40"/>
      <c r="B69" t="s" s="68">
        <v>63</v>
      </c>
      <c r="C69" s="79"/>
      <c r="D69" s="70">
        <v>0</v>
      </c>
      <c r="E69" s="70">
        <v>0</v>
      </c>
      <c r="F69" s="70">
        <v>0</v>
      </c>
      <c r="G69" s="70">
        <v>0</v>
      </c>
      <c r="H69" s="70">
        <v>0</v>
      </c>
      <c r="I69" s="70">
        <v>0</v>
      </c>
      <c r="J69" s="70">
        <v>0</v>
      </c>
      <c r="K69" s="70">
        <v>0</v>
      </c>
      <c r="L69" s="70">
        <v>0</v>
      </c>
      <c r="M69" s="70">
        <v>0</v>
      </c>
      <c r="N69" s="70">
        <v>0</v>
      </c>
      <c r="O69" s="70">
        <v>0</v>
      </c>
      <c r="P69" s="46"/>
      <c r="Q69" s="70" cm="1">
        <f t="array" ref="Q69">SUM(D69:O69)</f>
        <v>0</v>
      </c>
      <c r="R69" s="47"/>
      <c r="S69" s="18"/>
      <c r="T69" s="18"/>
      <c r="U69" s="18"/>
      <c r="V69" s="18"/>
      <c r="W69" s="18"/>
      <c r="X69" s="18"/>
      <c r="Y69" s="19"/>
    </row>
    <row r="70" ht="20" customHeight="1">
      <c r="A70" s="40"/>
      <c r="B70" t="s" s="68">
        <v>64</v>
      </c>
      <c r="C70" s="79"/>
      <c r="D70" s="70">
        <v>0</v>
      </c>
      <c r="E70" s="70">
        <v>0</v>
      </c>
      <c r="F70" s="70">
        <v>0</v>
      </c>
      <c r="G70" s="70">
        <v>0</v>
      </c>
      <c r="H70" s="70">
        <v>0</v>
      </c>
      <c r="I70" s="70">
        <v>0</v>
      </c>
      <c r="J70" s="70">
        <v>0</v>
      </c>
      <c r="K70" s="70">
        <v>0</v>
      </c>
      <c r="L70" s="70">
        <v>0</v>
      </c>
      <c r="M70" s="70">
        <v>0</v>
      </c>
      <c r="N70" s="70">
        <v>0</v>
      </c>
      <c r="O70" s="70">
        <v>0</v>
      </c>
      <c r="P70" s="46"/>
      <c r="Q70" s="70" cm="1">
        <f t="array" ref="Q70">SUM(D70:O70)</f>
        <v>0</v>
      </c>
      <c r="R70" s="47"/>
      <c r="S70" s="18"/>
      <c r="T70" s="18"/>
      <c r="U70" s="18"/>
      <c r="V70" s="18"/>
      <c r="W70" s="18"/>
      <c r="X70" s="18"/>
      <c r="Y70" s="19"/>
    </row>
    <row r="71" ht="20" customHeight="1">
      <c r="A71" s="40"/>
      <c r="B71" t="s" s="68">
        <v>65</v>
      </c>
      <c r="C71" s="79"/>
      <c r="D71" s="70">
        <v>0</v>
      </c>
      <c r="E71" s="70">
        <v>0</v>
      </c>
      <c r="F71" s="70">
        <v>0</v>
      </c>
      <c r="G71" s="70">
        <v>0</v>
      </c>
      <c r="H71" s="70">
        <v>0</v>
      </c>
      <c r="I71" s="70">
        <v>0</v>
      </c>
      <c r="J71" s="70">
        <v>0</v>
      </c>
      <c r="K71" s="70">
        <v>0</v>
      </c>
      <c r="L71" s="70">
        <v>0</v>
      </c>
      <c r="M71" s="70">
        <v>0</v>
      </c>
      <c r="N71" s="70">
        <v>0</v>
      </c>
      <c r="O71" s="70">
        <v>0</v>
      </c>
      <c r="P71" s="46"/>
      <c r="Q71" s="70" cm="1">
        <f t="array" ref="Q71">SUM(D71:O71)</f>
        <v>0</v>
      </c>
      <c r="R71" s="47"/>
      <c r="S71" s="18"/>
      <c r="T71" s="18"/>
      <c r="U71" s="18"/>
      <c r="V71" s="18"/>
      <c r="W71" s="18"/>
      <c r="X71" s="18"/>
      <c r="Y71" s="19"/>
    </row>
    <row r="72" ht="20" customHeight="1">
      <c r="A72" s="40"/>
      <c r="B72" t="s" s="68">
        <v>50</v>
      </c>
      <c r="C72" s="79"/>
      <c r="D72" s="70">
        <v>0</v>
      </c>
      <c r="E72" s="70">
        <v>0</v>
      </c>
      <c r="F72" s="70">
        <v>0</v>
      </c>
      <c r="G72" s="70">
        <v>0</v>
      </c>
      <c r="H72" s="70">
        <v>0</v>
      </c>
      <c r="I72" s="70">
        <v>0</v>
      </c>
      <c r="J72" s="70">
        <v>0</v>
      </c>
      <c r="K72" s="70">
        <v>0</v>
      </c>
      <c r="L72" s="70">
        <v>0</v>
      </c>
      <c r="M72" s="70">
        <v>0</v>
      </c>
      <c r="N72" s="70">
        <v>0</v>
      </c>
      <c r="O72" s="70">
        <v>0</v>
      </c>
      <c r="P72" s="46"/>
      <c r="Q72" s="70" cm="1">
        <f t="array" ref="Q72">SUM(D72:O72)</f>
        <v>0</v>
      </c>
      <c r="R72" s="47"/>
      <c r="S72" s="18"/>
      <c r="T72" s="18"/>
      <c r="U72" s="18"/>
      <c r="V72" s="18"/>
      <c r="W72" s="18"/>
      <c r="X72" s="18"/>
      <c r="Y72" s="19"/>
    </row>
    <row r="73" ht="20" customHeight="1">
      <c r="A73" s="40"/>
      <c r="B73" t="s" s="72">
        <v>66</v>
      </c>
      <c r="C73" s="42"/>
      <c r="D73" s="43" cm="1">
        <f t="array" ref="D73">SUM(D67:D72)</f>
        <v>0</v>
      </c>
      <c r="E73" s="43" cm="1">
        <f t="array" ref="E73">SUM(E67:E72)</f>
        <v>0</v>
      </c>
      <c r="F73" s="43" cm="1">
        <f t="array" ref="F73">SUM(F67:F72)</f>
        <v>1204.98</v>
      </c>
      <c r="G73" s="43" cm="1">
        <f t="array" ref="G73">SUM(G67:G72)</f>
        <v>1025.5</v>
      </c>
      <c r="H73" s="43" cm="1">
        <f t="array" ref="H73">SUM(H67:H72)</f>
        <v>0</v>
      </c>
      <c r="I73" s="43" cm="1">
        <f t="array" ref="I73">SUM(I67:I72)</f>
        <v>0</v>
      </c>
      <c r="J73" s="43" cm="1">
        <f t="array" ref="J73">SUM(J67:J72)</f>
        <v>0</v>
      </c>
      <c r="K73" s="43" cm="1">
        <f t="array" ref="K73">SUM(K67:K72)</f>
        <v>0</v>
      </c>
      <c r="L73" s="43" cm="1">
        <f t="array" ref="L73">SUM(L67:L72)</f>
        <v>0</v>
      </c>
      <c r="M73" s="43" cm="1">
        <f t="array" ref="M73">SUM(M67:M72)</f>
        <v>0</v>
      </c>
      <c r="N73" s="43" cm="1">
        <f t="array" ref="N73">SUM(N67:N72)</f>
        <v>0</v>
      </c>
      <c r="O73" s="43" cm="1">
        <f t="array" ref="O73">SUM(O67:O72)</f>
        <v>0</v>
      </c>
      <c r="P73" s="46"/>
      <c r="Q73" s="43" cm="1">
        <f t="array" ref="Q73">SUM(Q67:Q72)</f>
        <v>2230.48</v>
      </c>
      <c r="R73" s="47"/>
      <c r="S73" s="18"/>
      <c r="T73" s="18"/>
      <c r="U73" s="18"/>
      <c r="V73" s="18"/>
      <c r="W73" s="18"/>
      <c r="X73" s="18"/>
      <c r="Y73" s="19"/>
    </row>
    <row r="74" ht="20" customHeight="1">
      <c r="A74" s="27"/>
      <c r="B74" s="97"/>
      <c r="C74" s="74"/>
      <c r="D74" s="97"/>
      <c r="E74" s="97"/>
      <c r="F74" s="97"/>
      <c r="G74" s="97"/>
      <c r="H74" s="97"/>
      <c r="I74" s="97"/>
      <c r="J74" s="97"/>
      <c r="K74" s="97"/>
      <c r="L74" s="97"/>
      <c r="M74" s="97"/>
      <c r="N74" s="97"/>
      <c r="O74" s="97"/>
      <c r="P74" s="18"/>
      <c r="Q74" s="97"/>
      <c r="R74" s="18"/>
      <c r="S74" s="18"/>
      <c r="T74" s="18"/>
      <c r="U74" s="18"/>
      <c r="V74" s="18"/>
      <c r="W74" s="18"/>
      <c r="X74" s="18"/>
      <c r="Y74" s="19"/>
    </row>
    <row r="75" ht="20" customHeight="1">
      <c r="A75" s="40"/>
      <c r="B75" t="s" s="92">
        <v>67</v>
      </c>
      <c r="C75" t="s" s="67">
        <v>11</v>
      </c>
      <c r="D75" t="s" s="67">
        <v>12</v>
      </c>
      <c r="E75" t="s" s="67">
        <v>13</v>
      </c>
      <c r="F75" t="s" s="67">
        <v>14</v>
      </c>
      <c r="G75" t="s" s="67">
        <v>15</v>
      </c>
      <c r="H75" t="s" s="67">
        <v>16</v>
      </c>
      <c r="I75" t="s" s="67">
        <v>17</v>
      </c>
      <c r="J75" t="s" s="67">
        <v>18</v>
      </c>
      <c r="K75" t="s" s="67">
        <v>19</v>
      </c>
      <c r="L75" t="s" s="67">
        <v>20</v>
      </c>
      <c r="M75" t="s" s="67">
        <v>21</v>
      </c>
      <c r="N75" t="s" s="67">
        <v>22</v>
      </c>
      <c r="O75" t="s" s="67">
        <v>23</v>
      </c>
      <c r="P75" s="46"/>
      <c r="Q75" t="s" s="67">
        <v>24</v>
      </c>
      <c r="R75" s="47"/>
      <c r="S75" s="18"/>
      <c r="T75" s="18"/>
      <c r="U75" s="18"/>
      <c r="V75" s="18"/>
      <c r="W75" s="18"/>
      <c r="X75" s="18"/>
      <c r="Y75" s="19"/>
    </row>
    <row r="76" ht="20" customHeight="1">
      <c r="A76" s="40"/>
      <c r="B76" t="s" s="68">
        <v>135</v>
      </c>
      <c r="C76" t="s" s="68">
        <v>69</v>
      </c>
      <c r="D76" s="70">
        <v>0</v>
      </c>
      <c r="E76" s="70">
        <v>0</v>
      </c>
      <c r="F76" s="70">
        <v>0</v>
      </c>
      <c r="G76" s="70">
        <v>0</v>
      </c>
      <c r="H76" s="70">
        <v>0</v>
      </c>
      <c r="I76" s="70">
        <v>0</v>
      </c>
      <c r="J76" s="70">
        <v>0</v>
      </c>
      <c r="K76" s="70">
        <v>0</v>
      </c>
      <c r="L76" s="70">
        <v>0</v>
      </c>
      <c r="M76" s="70">
        <v>0</v>
      </c>
      <c r="N76" s="70">
        <v>0</v>
      </c>
      <c r="O76" s="70">
        <v>0</v>
      </c>
      <c r="P76" s="46"/>
      <c r="Q76" s="70" cm="1">
        <f t="array" ref="Q76">SUM(D76:O76)</f>
        <v>0</v>
      </c>
      <c r="R76" s="47"/>
      <c r="S76" s="18"/>
      <c r="T76" s="18"/>
      <c r="U76" s="18"/>
      <c r="V76" s="18"/>
      <c r="W76" s="18"/>
      <c r="X76" s="18"/>
      <c r="Y76" s="19"/>
    </row>
    <row r="77" ht="20" customHeight="1">
      <c r="A77" s="40"/>
      <c r="B77" t="s" s="68">
        <v>70</v>
      </c>
      <c r="C77" t="s" s="68">
        <v>59</v>
      </c>
      <c r="D77" s="70">
        <v>0</v>
      </c>
      <c r="E77" s="70">
        <v>0</v>
      </c>
      <c r="F77" s="70">
        <v>200</v>
      </c>
      <c r="G77" s="70">
        <v>200</v>
      </c>
      <c r="H77" s="70">
        <v>200</v>
      </c>
      <c r="I77" s="70">
        <v>200</v>
      </c>
      <c r="J77" s="70">
        <v>200</v>
      </c>
      <c r="K77" s="70">
        <v>200</v>
      </c>
      <c r="L77" s="70">
        <v>200</v>
      </c>
      <c r="M77" s="70">
        <v>200</v>
      </c>
      <c r="N77" s="70">
        <v>200</v>
      </c>
      <c r="O77" s="70">
        <v>0</v>
      </c>
      <c r="P77" s="46"/>
      <c r="Q77" s="70" cm="1">
        <f t="array" ref="Q77">SUM(D77:O77)</f>
        <v>1800</v>
      </c>
      <c r="R77" s="47"/>
      <c r="S77" s="18"/>
      <c r="T77" s="18"/>
      <c r="U77" s="18"/>
      <c r="V77" s="18"/>
      <c r="W77" s="18"/>
      <c r="X77" s="18"/>
      <c r="Y77" s="19"/>
    </row>
    <row r="78" ht="20" customHeight="1">
      <c r="A78" s="40"/>
      <c r="B78" t="s" s="68">
        <v>71</v>
      </c>
      <c r="C78" t="s" s="68">
        <v>72</v>
      </c>
      <c r="D78" s="70">
        <v>0</v>
      </c>
      <c r="E78" s="70">
        <v>0</v>
      </c>
      <c r="F78" s="70">
        <v>180</v>
      </c>
      <c r="G78" s="70">
        <v>450</v>
      </c>
      <c r="H78" s="70">
        <v>450</v>
      </c>
      <c r="I78" s="70">
        <v>450</v>
      </c>
      <c r="J78" s="70">
        <v>450</v>
      </c>
      <c r="K78" s="70">
        <v>450</v>
      </c>
      <c r="L78" s="70">
        <v>450</v>
      </c>
      <c r="M78" s="70">
        <v>450</v>
      </c>
      <c r="N78" s="70">
        <v>450</v>
      </c>
      <c r="O78" s="70">
        <v>0</v>
      </c>
      <c r="P78" s="46"/>
      <c r="Q78" s="70" cm="1">
        <f t="array" ref="Q78">SUM(D78:O78)</f>
        <v>3780</v>
      </c>
      <c r="R78" s="47"/>
      <c r="S78" s="18"/>
      <c r="T78" s="18"/>
      <c r="U78" s="18"/>
      <c r="V78" s="18"/>
      <c r="W78" s="18"/>
      <c r="X78" s="18"/>
      <c r="Y78" s="19"/>
    </row>
    <row r="79" ht="20" customHeight="1">
      <c r="A79" s="40"/>
      <c r="B79" t="s" s="68">
        <v>73</v>
      </c>
      <c r="C79" t="s" s="68">
        <v>59</v>
      </c>
      <c r="D79" s="70">
        <v>0</v>
      </c>
      <c r="E79" s="70">
        <v>0</v>
      </c>
      <c r="F79" s="70">
        <v>250</v>
      </c>
      <c r="G79" s="70">
        <v>250</v>
      </c>
      <c r="H79" s="70">
        <v>250</v>
      </c>
      <c r="I79" s="70">
        <v>250</v>
      </c>
      <c r="J79" s="70">
        <v>250</v>
      </c>
      <c r="K79" s="70">
        <v>250</v>
      </c>
      <c r="L79" s="70">
        <v>250</v>
      </c>
      <c r="M79" s="70">
        <v>250</v>
      </c>
      <c r="N79" s="70">
        <v>250</v>
      </c>
      <c r="O79" s="70">
        <v>0</v>
      </c>
      <c r="P79" s="46"/>
      <c r="Q79" s="70" cm="1">
        <f t="array" ref="Q79">SUM(D79:O79)</f>
        <v>2250</v>
      </c>
      <c r="R79" s="47"/>
      <c r="S79" s="18"/>
      <c r="T79" s="18"/>
      <c r="U79" s="18"/>
      <c r="V79" s="18"/>
      <c r="W79" s="18"/>
      <c r="X79" s="18"/>
      <c r="Y79" s="19"/>
    </row>
    <row r="80" ht="20" customHeight="1">
      <c r="A80" s="40"/>
      <c r="B80" t="s" s="68">
        <v>74</v>
      </c>
      <c r="C80" t="s" s="68">
        <v>59</v>
      </c>
      <c r="D80" s="70">
        <v>0</v>
      </c>
      <c r="E80" s="70">
        <v>0</v>
      </c>
      <c r="F80" s="70">
        <v>2000</v>
      </c>
      <c r="G80" s="70">
        <v>2000</v>
      </c>
      <c r="H80" s="70">
        <v>2000</v>
      </c>
      <c r="I80" s="70">
        <v>2000</v>
      </c>
      <c r="J80" s="70">
        <v>2000</v>
      </c>
      <c r="K80" s="70">
        <v>2000</v>
      </c>
      <c r="L80" s="70">
        <v>2000</v>
      </c>
      <c r="M80" s="70">
        <v>2000</v>
      </c>
      <c r="N80" s="70">
        <v>2000</v>
      </c>
      <c r="O80" s="70">
        <v>0</v>
      </c>
      <c r="P80" s="46"/>
      <c r="Q80" s="70" cm="1">
        <f t="array" ref="Q80">SUM(D80:O80)</f>
        <v>18000</v>
      </c>
      <c r="R80" s="47"/>
      <c r="S80" s="18"/>
      <c r="T80" s="18"/>
      <c r="U80" s="18"/>
      <c r="V80" s="18"/>
      <c r="W80" s="18"/>
      <c r="X80" s="18"/>
      <c r="Y80" s="19"/>
    </row>
    <row r="81" ht="20" customHeight="1">
      <c r="A81" s="40"/>
      <c r="B81" t="s" s="68">
        <v>75</v>
      </c>
      <c r="C81" t="s" s="68">
        <v>59</v>
      </c>
      <c r="D81" s="70">
        <v>0</v>
      </c>
      <c r="E81" s="70">
        <v>0</v>
      </c>
      <c r="F81" s="70">
        <v>120</v>
      </c>
      <c r="G81" s="70">
        <v>120</v>
      </c>
      <c r="H81" s="70">
        <v>120</v>
      </c>
      <c r="I81" s="70">
        <v>120</v>
      </c>
      <c r="J81" s="70">
        <v>120</v>
      </c>
      <c r="K81" s="70">
        <v>120</v>
      </c>
      <c r="L81" s="70">
        <v>120</v>
      </c>
      <c r="M81" s="70">
        <v>120</v>
      </c>
      <c r="N81" s="70">
        <v>120</v>
      </c>
      <c r="O81" s="70">
        <v>0</v>
      </c>
      <c r="P81" s="46"/>
      <c r="Q81" s="70" cm="1">
        <f t="array" ref="Q81">SUM(D81:O81)</f>
        <v>1080</v>
      </c>
      <c r="R81" s="47"/>
      <c r="S81" s="18"/>
      <c r="T81" s="18"/>
      <c r="U81" s="18"/>
      <c r="V81" s="18"/>
      <c r="W81" s="18"/>
      <c r="X81" s="18"/>
      <c r="Y81" s="19"/>
    </row>
    <row r="82" ht="20" customHeight="1">
      <c r="A82" s="40"/>
      <c r="B82" t="s" s="68">
        <v>76</v>
      </c>
      <c r="C82" s="79"/>
      <c r="D82" s="70">
        <v>0</v>
      </c>
      <c r="E82" s="70">
        <v>0</v>
      </c>
      <c r="F82" s="70">
        <v>0</v>
      </c>
      <c r="G82" s="70">
        <v>0</v>
      </c>
      <c r="H82" s="70">
        <v>0</v>
      </c>
      <c r="I82" s="70">
        <v>0</v>
      </c>
      <c r="J82" s="70">
        <v>0</v>
      </c>
      <c r="K82" s="70">
        <v>0</v>
      </c>
      <c r="L82" s="70">
        <v>0</v>
      </c>
      <c r="M82" s="70">
        <v>0</v>
      </c>
      <c r="N82" s="70">
        <v>0</v>
      </c>
      <c r="O82" s="70">
        <v>0</v>
      </c>
      <c r="P82" s="46"/>
      <c r="Q82" s="70" cm="1">
        <f t="array" ref="Q82">SUM(D82:O82)</f>
        <v>0</v>
      </c>
      <c r="R82" s="47"/>
      <c r="S82" s="18"/>
      <c r="T82" s="18"/>
      <c r="U82" s="18"/>
      <c r="V82" s="18"/>
      <c r="W82" s="18"/>
      <c r="X82" s="18"/>
      <c r="Y82" s="19"/>
    </row>
    <row r="83" ht="20" customHeight="1">
      <c r="A83" s="40"/>
      <c r="B83" t="s" s="68">
        <v>77</v>
      </c>
      <c r="C83" s="79"/>
      <c r="D83" s="70">
        <v>0</v>
      </c>
      <c r="E83" s="70">
        <v>0</v>
      </c>
      <c r="F83" s="70">
        <v>0</v>
      </c>
      <c r="G83" s="70">
        <v>0</v>
      </c>
      <c r="H83" s="70">
        <v>0</v>
      </c>
      <c r="I83" s="70">
        <v>0</v>
      </c>
      <c r="J83" s="70">
        <v>0</v>
      </c>
      <c r="K83" s="70">
        <v>0</v>
      </c>
      <c r="L83" s="70">
        <v>0</v>
      </c>
      <c r="M83" s="70">
        <v>0</v>
      </c>
      <c r="N83" s="70">
        <v>0</v>
      </c>
      <c r="O83" s="70">
        <v>0</v>
      </c>
      <c r="P83" s="46"/>
      <c r="Q83" s="70" cm="1">
        <f t="array" ref="Q83">SUM(D83:O83)</f>
        <v>0</v>
      </c>
      <c r="R83" s="47"/>
      <c r="S83" s="18"/>
      <c r="T83" s="18"/>
      <c r="U83" s="18"/>
      <c r="V83" s="18"/>
      <c r="W83" s="18"/>
      <c r="X83" s="18"/>
      <c r="Y83" s="19"/>
    </row>
    <row r="84" ht="20" customHeight="1">
      <c r="A84" s="40"/>
      <c r="B84" t="s" s="68">
        <v>78</v>
      </c>
      <c r="C84" s="79"/>
      <c r="D84" s="70">
        <v>0</v>
      </c>
      <c r="E84" s="70">
        <v>0</v>
      </c>
      <c r="F84" s="70">
        <v>0</v>
      </c>
      <c r="G84" s="70">
        <v>0</v>
      </c>
      <c r="H84" s="70">
        <v>0</v>
      </c>
      <c r="I84" s="70">
        <v>0</v>
      </c>
      <c r="J84" s="70">
        <v>0</v>
      </c>
      <c r="K84" s="70">
        <v>0</v>
      </c>
      <c r="L84" s="70">
        <v>0</v>
      </c>
      <c r="M84" s="70">
        <v>0</v>
      </c>
      <c r="N84" s="70">
        <v>0</v>
      </c>
      <c r="O84" s="70">
        <v>0</v>
      </c>
      <c r="P84" s="46"/>
      <c r="Q84" s="70" cm="1">
        <f t="array" ref="Q84">SUM(D84:O84)</f>
        <v>0</v>
      </c>
      <c r="R84" s="47"/>
      <c r="S84" s="18"/>
      <c r="T84" s="18"/>
      <c r="U84" s="18"/>
      <c r="V84" s="18"/>
      <c r="W84" s="18"/>
      <c r="X84" s="18"/>
      <c r="Y84" s="19"/>
    </row>
    <row r="85" ht="20" customHeight="1">
      <c r="A85" s="40"/>
      <c r="B85" t="s" s="68">
        <v>79</v>
      </c>
      <c r="C85" s="79"/>
      <c r="D85" s="70">
        <v>0</v>
      </c>
      <c r="E85" s="70">
        <v>0</v>
      </c>
      <c r="F85" s="70">
        <v>0</v>
      </c>
      <c r="G85" s="70">
        <v>0</v>
      </c>
      <c r="H85" s="70">
        <v>0</v>
      </c>
      <c r="I85" s="70">
        <v>0</v>
      </c>
      <c r="J85" s="70">
        <v>0</v>
      </c>
      <c r="K85" s="70">
        <v>0</v>
      </c>
      <c r="L85" s="70">
        <v>0</v>
      </c>
      <c r="M85" s="70">
        <v>0</v>
      </c>
      <c r="N85" s="70">
        <v>0</v>
      </c>
      <c r="O85" s="70">
        <v>0</v>
      </c>
      <c r="P85" s="46"/>
      <c r="Q85" s="70" cm="1">
        <f t="array" ref="Q85">SUM(D85:O85)</f>
        <v>0</v>
      </c>
      <c r="R85" s="47"/>
      <c r="S85" s="18"/>
      <c r="T85" s="18"/>
      <c r="U85" s="18"/>
      <c r="V85" s="18"/>
      <c r="W85" s="18"/>
      <c r="X85" s="18"/>
      <c r="Y85" s="19"/>
    </row>
    <row r="86" ht="20" customHeight="1">
      <c r="A86" s="40"/>
      <c r="B86" t="s" s="68">
        <v>80</v>
      </c>
      <c r="C86" s="79"/>
      <c r="D86" s="70">
        <v>0</v>
      </c>
      <c r="E86" s="70">
        <v>0</v>
      </c>
      <c r="F86" s="70">
        <v>0</v>
      </c>
      <c r="G86" s="70">
        <v>0</v>
      </c>
      <c r="H86" s="70">
        <v>0</v>
      </c>
      <c r="I86" s="70">
        <v>0</v>
      </c>
      <c r="J86" s="70">
        <v>0</v>
      </c>
      <c r="K86" s="70">
        <v>0</v>
      </c>
      <c r="L86" s="70">
        <v>0</v>
      </c>
      <c r="M86" s="70">
        <v>0</v>
      </c>
      <c r="N86" s="70">
        <v>0</v>
      </c>
      <c r="O86" s="70">
        <v>0</v>
      </c>
      <c r="P86" s="46"/>
      <c r="Q86" s="70" cm="1">
        <f t="array" ref="Q86">SUM(D86:O86)</f>
        <v>0</v>
      </c>
      <c r="R86" s="47"/>
      <c r="S86" s="18"/>
      <c r="T86" s="18"/>
      <c r="U86" s="18"/>
      <c r="V86" s="18"/>
      <c r="W86" s="18"/>
      <c r="X86" s="18"/>
      <c r="Y86" s="19"/>
    </row>
    <row r="87" ht="20" customHeight="1">
      <c r="A87" s="40"/>
      <c r="B87" t="s" s="68">
        <v>81</v>
      </c>
      <c r="C87" s="79"/>
      <c r="D87" s="70">
        <v>0</v>
      </c>
      <c r="E87" s="70">
        <v>0</v>
      </c>
      <c r="F87" s="70">
        <v>0</v>
      </c>
      <c r="G87" s="70">
        <v>0</v>
      </c>
      <c r="H87" s="70">
        <v>0</v>
      </c>
      <c r="I87" s="70">
        <v>0</v>
      </c>
      <c r="J87" s="70">
        <v>0</v>
      </c>
      <c r="K87" s="70">
        <v>0</v>
      </c>
      <c r="L87" s="70">
        <v>0</v>
      </c>
      <c r="M87" s="70">
        <v>0</v>
      </c>
      <c r="N87" s="70">
        <v>0</v>
      </c>
      <c r="O87" s="70">
        <v>0</v>
      </c>
      <c r="P87" s="46"/>
      <c r="Q87" s="70" cm="1">
        <f t="array" ref="Q87">SUM(D87:O87)</f>
        <v>0</v>
      </c>
      <c r="R87" s="47"/>
      <c r="S87" s="18"/>
      <c r="T87" s="18"/>
      <c r="U87" s="18"/>
      <c r="V87" s="18"/>
      <c r="W87" s="18"/>
      <c r="X87" s="18"/>
      <c r="Y87" s="19"/>
    </row>
    <row r="88" ht="20" customHeight="1">
      <c r="A88" s="40"/>
      <c r="B88" t="s" s="68">
        <v>82</v>
      </c>
      <c r="C88" s="79"/>
      <c r="D88" s="70">
        <v>0</v>
      </c>
      <c r="E88" s="70">
        <v>0</v>
      </c>
      <c r="F88" s="70">
        <v>0</v>
      </c>
      <c r="G88" s="70">
        <v>0</v>
      </c>
      <c r="H88" s="70">
        <v>0</v>
      </c>
      <c r="I88" s="70">
        <v>0</v>
      </c>
      <c r="J88" s="70">
        <v>0</v>
      </c>
      <c r="K88" s="70">
        <v>0</v>
      </c>
      <c r="L88" s="70">
        <v>0</v>
      </c>
      <c r="M88" s="70">
        <v>0</v>
      </c>
      <c r="N88" s="70">
        <v>0</v>
      </c>
      <c r="O88" s="70">
        <v>0</v>
      </c>
      <c r="P88" s="46"/>
      <c r="Q88" s="70" cm="1">
        <f t="array" ref="Q88">SUM(D88:O88)</f>
        <v>0</v>
      </c>
      <c r="R88" s="47"/>
      <c r="S88" s="18"/>
      <c r="T88" s="18"/>
      <c r="U88" s="18"/>
      <c r="V88" s="18"/>
      <c r="W88" s="18"/>
      <c r="X88" s="18"/>
      <c r="Y88" s="19"/>
    </row>
    <row r="89" ht="20" customHeight="1">
      <c r="A89" s="40"/>
      <c r="B89" t="s" s="68">
        <v>83</v>
      </c>
      <c r="C89" s="79"/>
      <c r="D89" s="70">
        <v>0</v>
      </c>
      <c r="E89" s="70">
        <v>0</v>
      </c>
      <c r="F89" s="70">
        <v>0</v>
      </c>
      <c r="G89" s="70">
        <v>0</v>
      </c>
      <c r="H89" s="70">
        <v>0</v>
      </c>
      <c r="I89" s="70">
        <v>0</v>
      </c>
      <c r="J89" s="70">
        <v>0</v>
      </c>
      <c r="K89" s="70">
        <v>0</v>
      </c>
      <c r="L89" s="70">
        <v>0</v>
      </c>
      <c r="M89" s="70">
        <v>0</v>
      </c>
      <c r="N89" s="70">
        <v>0</v>
      </c>
      <c r="O89" s="70">
        <v>0</v>
      </c>
      <c r="P89" s="46"/>
      <c r="Q89" s="70" cm="1">
        <f t="array" ref="Q89">SUM(D89:O89)</f>
        <v>0</v>
      </c>
      <c r="R89" s="47"/>
      <c r="S89" s="18"/>
      <c r="T89" s="18"/>
      <c r="U89" s="18"/>
      <c r="V89" s="18"/>
      <c r="W89" s="18"/>
      <c r="X89" s="18"/>
      <c r="Y89" s="19"/>
    </row>
    <row r="90" ht="20" customHeight="1">
      <c r="A90" s="40"/>
      <c r="B90" t="s" s="68">
        <v>84</v>
      </c>
      <c r="C90" s="79"/>
      <c r="D90" s="70">
        <v>0</v>
      </c>
      <c r="E90" s="70">
        <v>0</v>
      </c>
      <c r="F90" s="70">
        <v>0</v>
      </c>
      <c r="G90" s="70">
        <v>0</v>
      </c>
      <c r="H90" s="70">
        <v>0</v>
      </c>
      <c r="I90" s="70">
        <v>0</v>
      </c>
      <c r="J90" s="70">
        <v>0</v>
      </c>
      <c r="K90" s="70">
        <v>0</v>
      </c>
      <c r="L90" s="70">
        <v>0</v>
      </c>
      <c r="M90" s="70">
        <v>0</v>
      </c>
      <c r="N90" s="70">
        <v>0</v>
      </c>
      <c r="O90" s="70">
        <v>0</v>
      </c>
      <c r="P90" s="46"/>
      <c r="Q90" s="70" cm="1">
        <f t="array" ref="Q90">SUM(D90:O90)</f>
        <v>0</v>
      </c>
      <c r="R90" s="47"/>
      <c r="S90" s="18"/>
      <c r="T90" s="18"/>
      <c r="U90" s="18"/>
      <c r="V90" s="18"/>
      <c r="W90" s="18"/>
      <c r="X90" s="18"/>
      <c r="Y90" s="19"/>
    </row>
    <row r="91" ht="20" customHeight="1">
      <c r="A91" s="40"/>
      <c r="B91" t="s" s="68">
        <v>85</v>
      </c>
      <c r="C91" s="79"/>
      <c r="D91" s="70">
        <v>0</v>
      </c>
      <c r="E91" s="70">
        <v>0</v>
      </c>
      <c r="F91" s="70">
        <v>0</v>
      </c>
      <c r="G91" s="70">
        <v>0</v>
      </c>
      <c r="H91" s="70">
        <v>0</v>
      </c>
      <c r="I91" s="70">
        <v>0</v>
      </c>
      <c r="J91" s="70">
        <v>0</v>
      </c>
      <c r="K91" s="70">
        <v>0</v>
      </c>
      <c r="L91" s="70">
        <v>0</v>
      </c>
      <c r="M91" s="70">
        <v>0</v>
      </c>
      <c r="N91" s="70">
        <v>0</v>
      </c>
      <c r="O91" s="70">
        <v>0</v>
      </c>
      <c r="P91" s="46"/>
      <c r="Q91" s="70" cm="1">
        <f t="array" ref="Q91">SUM(D91:O91)</f>
        <v>0</v>
      </c>
      <c r="R91" s="47"/>
      <c r="S91" s="18"/>
      <c r="T91" s="18"/>
      <c r="U91" s="18"/>
      <c r="V91" s="18"/>
      <c r="W91" s="18"/>
      <c r="X91" s="18"/>
      <c r="Y91" s="19"/>
    </row>
    <row r="92" ht="20" customHeight="1">
      <c r="A92" s="40"/>
      <c r="B92" t="s" s="68">
        <v>86</v>
      </c>
      <c r="C92" s="79"/>
      <c r="D92" s="70">
        <v>0</v>
      </c>
      <c r="E92" s="70">
        <v>0</v>
      </c>
      <c r="F92" s="70">
        <v>0</v>
      </c>
      <c r="G92" s="70">
        <v>0</v>
      </c>
      <c r="H92" s="70">
        <v>0</v>
      </c>
      <c r="I92" s="70">
        <v>0</v>
      </c>
      <c r="J92" s="70">
        <v>0</v>
      </c>
      <c r="K92" s="70">
        <v>0</v>
      </c>
      <c r="L92" s="70">
        <v>0</v>
      </c>
      <c r="M92" s="70">
        <v>0</v>
      </c>
      <c r="N92" s="70">
        <v>0</v>
      </c>
      <c r="O92" s="70">
        <v>0</v>
      </c>
      <c r="P92" s="46"/>
      <c r="Q92" s="70" cm="1">
        <f t="array" ref="Q92">SUM(D92:O92)</f>
        <v>0</v>
      </c>
      <c r="R92" s="47"/>
      <c r="S92" s="18"/>
      <c r="T92" s="18"/>
      <c r="U92" s="18"/>
      <c r="V92" s="18"/>
      <c r="W92" s="18"/>
      <c r="X92" s="18"/>
      <c r="Y92" s="19"/>
    </row>
    <row r="93" ht="20" customHeight="1">
      <c r="A93" s="40"/>
      <c r="B93" t="s" s="68">
        <v>50</v>
      </c>
      <c r="C93" s="79"/>
      <c r="D93" s="70">
        <v>0</v>
      </c>
      <c r="E93" s="70">
        <v>0</v>
      </c>
      <c r="F93" s="70">
        <v>0</v>
      </c>
      <c r="G93" s="70">
        <v>0</v>
      </c>
      <c r="H93" s="70">
        <v>0</v>
      </c>
      <c r="I93" s="70">
        <v>0</v>
      </c>
      <c r="J93" s="70">
        <v>0</v>
      </c>
      <c r="K93" s="70">
        <v>0</v>
      </c>
      <c r="L93" s="70">
        <v>0</v>
      </c>
      <c r="M93" s="70">
        <v>0</v>
      </c>
      <c r="N93" s="70">
        <v>0</v>
      </c>
      <c r="O93" s="70">
        <v>0</v>
      </c>
      <c r="P93" s="46"/>
      <c r="Q93" s="70" cm="1">
        <f t="array" ref="Q93">SUM(D93:O93)</f>
        <v>0</v>
      </c>
      <c r="R93" s="47"/>
      <c r="S93" s="18"/>
      <c r="T93" s="18"/>
      <c r="U93" s="18"/>
      <c r="V93" s="18"/>
      <c r="W93" s="18"/>
      <c r="X93" s="18"/>
      <c r="Y93" s="19"/>
    </row>
    <row r="94" ht="20" customHeight="1">
      <c r="A94" s="40"/>
      <c r="B94" t="s" s="72">
        <v>87</v>
      </c>
      <c r="C94" s="42"/>
      <c r="D94" s="43" cm="1">
        <f t="array" ref="D94">SUM(D76:D93)</f>
        <v>0</v>
      </c>
      <c r="E94" s="43" cm="1">
        <f t="array" ref="E94">SUM(E76:E93)</f>
        <v>0</v>
      </c>
      <c r="F94" s="43" cm="1">
        <f t="array" ref="F94">SUM(F76:F93)</f>
        <v>2750</v>
      </c>
      <c r="G94" s="43" cm="1">
        <f t="array" ref="G94">SUM(G76:G93)</f>
        <v>3020</v>
      </c>
      <c r="H94" s="43" cm="1">
        <f t="array" ref="H94">SUM(H76:H93)</f>
        <v>3020</v>
      </c>
      <c r="I94" s="43" cm="1">
        <f t="array" ref="I94">SUM(I76:I93)</f>
        <v>3020</v>
      </c>
      <c r="J94" s="43" cm="1">
        <f t="array" ref="J94">SUM(J76:J93)</f>
        <v>3020</v>
      </c>
      <c r="K94" s="43" cm="1">
        <f t="array" ref="K94">SUM(K76:K93)</f>
        <v>3020</v>
      </c>
      <c r="L94" s="43" cm="1">
        <f t="array" ref="L94">SUM(L76:L93)</f>
        <v>3020</v>
      </c>
      <c r="M94" s="43" cm="1">
        <f t="array" ref="M94">SUM(M76:M93)</f>
        <v>3020</v>
      </c>
      <c r="N94" s="43" cm="1">
        <f t="array" ref="N94">SUM(N76:N93)</f>
        <v>3020</v>
      </c>
      <c r="O94" s="43" cm="1">
        <f t="array" ref="O94">SUM(O76:O93)</f>
        <v>0</v>
      </c>
      <c r="P94" s="46"/>
      <c r="Q94" s="43" cm="1">
        <f t="array" ref="Q94">SUM(Q76:Q93)</f>
        <v>26910</v>
      </c>
      <c r="R94" s="47"/>
      <c r="S94" s="18"/>
      <c r="T94" s="18"/>
      <c r="U94" s="18"/>
      <c r="V94" s="18"/>
      <c r="W94" s="18"/>
      <c r="X94" s="18"/>
      <c r="Y94" s="19"/>
    </row>
    <row r="95" ht="20" customHeight="1">
      <c r="A95" s="27"/>
      <c r="B95" s="97"/>
      <c r="C95" s="74"/>
      <c r="D95" s="97"/>
      <c r="E95" s="97"/>
      <c r="F95" s="97"/>
      <c r="G95" s="97"/>
      <c r="H95" s="97"/>
      <c r="I95" s="97"/>
      <c r="J95" s="97"/>
      <c r="K95" s="97"/>
      <c r="L95" s="97"/>
      <c r="M95" s="97"/>
      <c r="N95" s="97"/>
      <c r="O95" s="97"/>
      <c r="P95" s="18"/>
      <c r="Q95" s="97"/>
      <c r="R95" s="18"/>
      <c r="S95" s="18"/>
      <c r="T95" s="18"/>
      <c r="U95" s="18"/>
      <c r="V95" s="18"/>
      <c r="W95" s="18"/>
      <c r="X95" s="18"/>
      <c r="Y95" s="19"/>
    </row>
    <row r="96" ht="20" customHeight="1">
      <c r="A96" s="40"/>
      <c r="B96" t="s" s="92">
        <v>88</v>
      </c>
      <c r="C96" t="s" s="67">
        <v>11</v>
      </c>
      <c r="D96" t="s" s="67">
        <v>12</v>
      </c>
      <c r="E96" t="s" s="67">
        <v>13</v>
      </c>
      <c r="F96" t="s" s="67">
        <v>14</v>
      </c>
      <c r="G96" t="s" s="67">
        <v>15</v>
      </c>
      <c r="H96" t="s" s="67">
        <v>16</v>
      </c>
      <c r="I96" t="s" s="67">
        <v>17</v>
      </c>
      <c r="J96" t="s" s="67">
        <v>18</v>
      </c>
      <c r="K96" t="s" s="67">
        <v>19</v>
      </c>
      <c r="L96" t="s" s="67">
        <v>20</v>
      </c>
      <c r="M96" t="s" s="67">
        <v>21</v>
      </c>
      <c r="N96" t="s" s="67">
        <v>22</v>
      </c>
      <c r="O96" t="s" s="67">
        <v>23</v>
      </c>
      <c r="P96" s="46"/>
      <c r="Q96" t="s" s="67">
        <v>24</v>
      </c>
      <c r="R96" s="47"/>
      <c r="S96" s="18"/>
      <c r="T96" s="18"/>
      <c r="U96" s="18"/>
      <c r="V96" s="18"/>
      <c r="W96" s="18"/>
      <c r="X96" s="18"/>
      <c r="Y96" s="19"/>
    </row>
    <row r="97" ht="20" customHeight="1">
      <c r="A97" s="40"/>
      <c r="B97" t="s" s="68">
        <v>89</v>
      </c>
      <c r="C97" s="79"/>
      <c r="D97" s="70">
        <v>0</v>
      </c>
      <c r="E97" s="70">
        <v>0</v>
      </c>
      <c r="F97" s="70">
        <v>0</v>
      </c>
      <c r="G97" s="70">
        <v>0</v>
      </c>
      <c r="H97" s="70">
        <v>0</v>
      </c>
      <c r="I97" s="70">
        <v>0</v>
      </c>
      <c r="J97" s="70">
        <v>0</v>
      </c>
      <c r="K97" s="70">
        <v>0</v>
      </c>
      <c r="L97" s="70">
        <v>0</v>
      </c>
      <c r="M97" s="70">
        <v>0</v>
      </c>
      <c r="N97" s="70">
        <v>0</v>
      </c>
      <c r="O97" s="70">
        <v>0</v>
      </c>
      <c r="P97" s="46"/>
      <c r="Q97" s="70" cm="1">
        <f t="array" ref="Q97">SUM(D97:O97)</f>
        <v>0</v>
      </c>
      <c r="R97" s="47"/>
      <c r="S97" s="18"/>
      <c r="T97" s="18"/>
      <c r="U97" s="18"/>
      <c r="V97" s="18"/>
      <c r="W97" s="18"/>
      <c r="X97" s="18"/>
      <c r="Y97" s="19"/>
    </row>
    <row r="98" ht="20" customHeight="1">
      <c r="A98" s="40"/>
      <c r="B98" t="s" s="68">
        <v>90</v>
      </c>
      <c r="C98" s="79"/>
      <c r="D98" s="70">
        <v>0</v>
      </c>
      <c r="E98" s="70">
        <v>0</v>
      </c>
      <c r="F98" s="70">
        <v>0</v>
      </c>
      <c r="G98" s="70">
        <v>0</v>
      </c>
      <c r="H98" s="70">
        <v>0</v>
      </c>
      <c r="I98" s="70">
        <v>0</v>
      </c>
      <c r="J98" s="70">
        <v>0</v>
      </c>
      <c r="K98" s="70">
        <v>0</v>
      </c>
      <c r="L98" s="70">
        <v>0</v>
      </c>
      <c r="M98" s="70">
        <v>0</v>
      </c>
      <c r="N98" s="70">
        <v>0</v>
      </c>
      <c r="O98" s="70">
        <v>0</v>
      </c>
      <c r="P98" s="46"/>
      <c r="Q98" s="70" cm="1">
        <f t="array" ref="Q98">SUM(D98:O98)</f>
        <v>0</v>
      </c>
      <c r="R98" s="47"/>
      <c r="S98" s="18"/>
      <c r="T98" s="18"/>
      <c r="U98" s="18"/>
      <c r="V98" s="18"/>
      <c r="W98" s="18"/>
      <c r="X98" s="18"/>
      <c r="Y98" s="19"/>
    </row>
    <row r="99" ht="20" customHeight="1">
      <c r="A99" s="40"/>
      <c r="B99" t="s" s="68">
        <v>91</v>
      </c>
      <c r="C99" s="79"/>
      <c r="D99" s="70">
        <v>0</v>
      </c>
      <c r="E99" s="70">
        <v>0</v>
      </c>
      <c r="F99" s="70">
        <v>0</v>
      </c>
      <c r="G99" s="70">
        <v>0</v>
      </c>
      <c r="H99" s="70">
        <v>0</v>
      </c>
      <c r="I99" s="70">
        <v>0</v>
      </c>
      <c r="J99" s="70">
        <v>0</v>
      </c>
      <c r="K99" s="70">
        <v>0</v>
      </c>
      <c r="L99" s="70">
        <v>0</v>
      </c>
      <c r="M99" s="70">
        <v>0</v>
      </c>
      <c r="N99" s="70">
        <v>0</v>
      </c>
      <c r="O99" s="70">
        <v>0</v>
      </c>
      <c r="P99" s="46"/>
      <c r="Q99" s="70" cm="1">
        <f t="array" ref="Q99">SUM(D99:O99)</f>
        <v>0</v>
      </c>
      <c r="R99" s="47"/>
      <c r="S99" s="18"/>
      <c r="T99" s="18"/>
      <c r="U99" s="18"/>
      <c r="V99" s="18"/>
      <c r="W99" s="18"/>
      <c r="X99" s="18"/>
      <c r="Y99" s="19"/>
    </row>
    <row r="100" ht="20" customHeight="1">
      <c r="A100" s="40"/>
      <c r="B100" t="s" s="68">
        <v>64</v>
      </c>
      <c r="C100" s="79"/>
      <c r="D100" s="70">
        <v>0</v>
      </c>
      <c r="E100" s="70">
        <v>0</v>
      </c>
      <c r="F100" s="70">
        <v>0</v>
      </c>
      <c r="G100" s="70">
        <v>0</v>
      </c>
      <c r="H100" s="70">
        <v>0</v>
      </c>
      <c r="I100" s="70">
        <v>0</v>
      </c>
      <c r="J100" s="70">
        <v>0</v>
      </c>
      <c r="K100" s="70">
        <v>0</v>
      </c>
      <c r="L100" s="70">
        <v>0</v>
      </c>
      <c r="M100" s="70">
        <v>0</v>
      </c>
      <c r="N100" s="70">
        <v>0</v>
      </c>
      <c r="O100" s="70">
        <v>0</v>
      </c>
      <c r="P100" s="46"/>
      <c r="Q100" s="70" cm="1">
        <f t="array" ref="Q100">SUM(D100:O100)</f>
        <v>0</v>
      </c>
      <c r="R100" s="47"/>
      <c r="S100" s="18"/>
      <c r="T100" s="18"/>
      <c r="U100" s="18"/>
      <c r="V100" s="18"/>
      <c r="W100" s="18"/>
      <c r="X100" s="18"/>
      <c r="Y100" s="19"/>
    </row>
    <row r="101" ht="20" customHeight="1">
      <c r="A101" s="40"/>
      <c r="B101" t="s" s="68">
        <v>50</v>
      </c>
      <c r="C101" s="79"/>
      <c r="D101" s="70">
        <v>0</v>
      </c>
      <c r="E101" s="70">
        <v>0</v>
      </c>
      <c r="F101" s="70">
        <v>0</v>
      </c>
      <c r="G101" s="70">
        <v>0</v>
      </c>
      <c r="H101" s="70">
        <v>0</v>
      </c>
      <c r="I101" s="70">
        <v>0</v>
      </c>
      <c r="J101" s="70">
        <v>0</v>
      </c>
      <c r="K101" s="70">
        <v>0</v>
      </c>
      <c r="L101" s="70">
        <v>0</v>
      </c>
      <c r="M101" s="70">
        <v>0</v>
      </c>
      <c r="N101" s="70">
        <v>0</v>
      </c>
      <c r="O101" s="70">
        <v>0</v>
      </c>
      <c r="P101" s="46"/>
      <c r="Q101" s="70" cm="1">
        <f t="array" ref="Q101">SUM(D101:O101)</f>
        <v>0</v>
      </c>
      <c r="R101" s="47"/>
      <c r="S101" s="18"/>
      <c r="T101" s="18"/>
      <c r="U101" s="18"/>
      <c r="V101" s="18"/>
      <c r="W101" s="18"/>
      <c r="X101" s="18"/>
      <c r="Y101" s="19"/>
    </row>
    <row r="102" ht="20" customHeight="1">
      <c r="A102" s="40"/>
      <c r="B102" t="s" s="72">
        <v>92</v>
      </c>
      <c r="C102" s="42"/>
      <c r="D102" s="43" cm="1">
        <f t="array" ref="D102">SUM(D97:D101)</f>
        <v>0</v>
      </c>
      <c r="E102" s="43" cm="1">
        <f t="array" ref="E102">SUM(E97:E101)</f>
        <v>0</v>
      </c>
      <c r="F102" s="43" cm="1">
        <f t="array" ref="F102">SUM(F97:F101)</f>
        <v>0</v>
      </c>
      <c r="G102" s="43" cm="1">
        <f t="array" ref="G102">SUM(G97:G101)</f>
        <v>0</v>
      </c>
      <c r="H102" s="43" cm="1">
        <f t="array" ref="H102">SUM(H97:H101)</f>
        <v>0</v>
      </c>
      <c r="I102" s="43" cm="1">
        <f t="array" ref="I102">SUM(I97:I101)</f>
        <v>0</v>
      </c>
      <c r="J102" s="43" cm="1">
        <f t="array" ref="J102">SUM(J97:J101)</f>
        <v>0</v>
      </c>
      <c r="K102" s="43" cm="1">
        <f t="array" ref="K102">SUM(K97:K101)</f>
        <v>0</v>
      </c>
      <c r="L102" s="43" cm="1">
        <f t="array" ref="L102">SUM(L97:L101)</f>
        <v>0</v>
      </c>
      <c r="M102" s="43" cm="1">
        <f t="array" ref="M102">SUM(M97:M101)</f>
        <v>0</v>
      </c>
      <c r="N102" s="43" cm="1">
        <f t="array" ref="N102">SUM(N97:N101)</f>
        <v>0</v>
      </c>
      <c r="O102" s="43" cm="1">
        <f t="array" ref="O102">SUM(O97:O101)</f>
        <v>0</v>
      </c>
      <c r="P102" s="46"/>
      <c r="Q102" s="43" cm="1">
        <f t="array" ref="Q102">SUM(Q97:Q101)</f>
        <v>0</v>
      </c>
      <c r="R102" s="47"/>
      <c r="S102" s="18"/>
      <c r="T102" s="18"/>
      <c r="U102" s="18"/>
      <c r="V102" s="18"/>
      <c r="W102" s="18"/>
      <c r="X102" s="18"/>
      <c r="Y102" s="19"/>
    </row>
    <row r="103" ht="20" customHeight="1">
      <c r="A103" s="27"/>
      <c r="B103" s="97"/>
      <c r="C103" s="74"/>
      <c r="D103" s="97"/>
      <c r="E103" s="97"/>
      <c r="F103" s="97"/>
      <c r="G103" s="97"/>
      <c r="H103" s="97"/>
      <c r="I103" s="97"/>
      <c r="J103" s="97"/>
      <c r="K103" s="97"/>
      <c r="L103" s="97"/>
      <c r="M103" s="97"/>
      <c r="N103" s="97"/>
      <c r="O103" s="97"/>
      <c r="P103" s="18"/>
      <c r="Q103" s="97"/>
      <c r="R103" s="18"/>
      <c r="S103" s="18"/>
      <c r="T103" s="18"/>
      <c r="U103" s="18"/>
      <c r="V103" s="18"/>
      <c r="W103" s="18"/>
      <c r="X103" s="18"/>
      <c r="Y103" s="19"/>
    </row>
    <row r="104" ht="20" customHeight="1">
      <c r="A104" s="40"/>
      <c r="B104" t="s" s="92">
        <v>93</v>
      </c>
      <c r="C104" t="s" s="67">
        <v>11</v>
      </c>
      <c r="D104" t="s" s="67">
        <v>12</v>
      </c>
      <c r="E104" t="s" s="67">
        <v>13</v>
      </c>
      <c r="F104" t="s" s="67">
        <v>14</v>
      </c>
      <c r="G104" t="s" s="67">
        <v>15</v>
      </c>
      <c r="H104" t="s" s="67">
        <v>16</v>
      </c>
      <c r="I104" t="s" s="67">
        <v>17</v>
      </c>
      <c r="J104" t="s" s="67">
        <v>18</v>
      </c>
      <c r="K104" t="s" s="67">
        <v>19</v>
      </c>
      <c r="L104" t="s" s="67">
        <v>20</v>
      </c>
      <c r="M104" t="s" s="67">
        <v>21</v>
      </c>
      <c r="N104" t="s" s="67">
        <v>22</v>
      </c>
      <c r="O104" t="s" s="67">
        <v>23</v>
      </c>
      <c r="P104" s="46"/>
      <c r="Q104" t="s" s="67">
        <v>24</v>
      </c>
      <c r="R104" s="47"/>
      <c r="S104" s="18"/>
      <c r="T104" s="18"/>
      <c r="U104" s="18"/>
      <c r="V104" s="18"/>
      <c r="W104" s="18"/>
      <c r="X104" s="18"/>
      <c r="Y104" s="19"/>
    </row>
    <row r="105" ht="20" customHeight="1">
      <c r="A105" s="40"/>
      <c r="B105" t="s" s="68">
        <v>94</v>
      </c>
      <c r="C105" s="79"/>
      <c r="D105" s="70">
        <v>0</v>
      </c>
      <c r="E105" s="70">
        <v>0</v>
      </c>
      <c r="F105" s="70">
        <v>30718.78</v>
      </c>
      <c r="G105" s="70">
        <v>5250</v>
      </c>
      <c r="H105" s="70"/>
      <c r="I105" s="70">
        <v>0</v>
      </c>
      <c r="J105" s="70">
        <v>0</v>
      </c>
      <c r="K105" s="70">
        <v>0</v>
      </c>
      <c r="L105" s="70">
        <v>0</v>
      </c>
      <c r="M105" s="70">
        <v>0</v>
      </c>
      <c r="N105" s="70">
        <v>0</v>
      </c>
      <c r="O105" s="70">
        <v>0</v>
      </c>
      <c r="P105" s="46"/>
      <c r="Q105" s="70" cm="1">
        <f t="array" ref="Q105">SUM(D105:O105)</f>
        <v>35968.78</v>
      </c>
      <c r="R105" s="47"/>
      <c r="S105" s="18"/>
      <c r="T105" s="18"/>
      <c r="U105" s="18"/>
      <c r="V105" s="18"/>
      <c r="W105" s="18"/>
      <c r="X105" s="18"/>
      <c r="Y105" s="19"/>
    </row>
    <row r="106" ht="20" customHeight="1">
      <c r="A106" s="40"/>
      <c r="B106" t="s" s="68">
        <v>95</v>
      </c>
      <c r="C106" s="79"/>
      <c r="D106" s="70">
        <v>0</v>
      </c>
      <c r="E106" s="70">
        <v>0</v>
      </c>
      <c r="F106" s="70">
        <v>0</v>
      </c>
      <c r="G106" s="70">
        <v>0</v>
      </c>
      <c r="H106" s="70">
        <v>0</v>
      </c>
      <c r="I106" s="70">
        <v>0</v>
      </c>
      <c r="J106" s="70">
        <v>0</v>
      </c>
      <c r="K106" s="70">
        <v>0</v>
      </c>
      <c r="L106" s="70">
        <v>0</v>
      </c>
      <c r="M106" s="70">
        <v>0</v>
      </c>
      <c r="N106" s="70">
        <v>0</v>
      </c>
      <c r="O106" s="70">
        <v>0</v>
      </c>
      <c r="P106" s="46"/>
      <c r="Q106" s="70" cm="1">
        <f t="array" ref="Q106">SUM(D106:O106)</f>
        <v>0</v>
      </c>
      <c r="R106" s="47"/>
      <c r="S106" s="18"/>
      <c r="T106" s="18"/>
      <c r="U106" s="18"/>
      <c r="V106" s="18"/>
      <c r="W106" s="18"/>
      <c r="X106" s="18"/>
      <c r="Y106" s="19"/>
    </row>
    <row r="107" ht="20" customHeight="1">
      <c r="A107" s="40"/>
      <c r="B107" t="s" s="68">
        <v>96</v>
      </c>
      <c r="C107" s="79"/>
      <c r="D107" s="70">
        <v>0</v>
      </c>
      <c r="E107" s="70">
        <v>0</v>
      </c>
      <c r="F107" s="70">
        <v>0</v>
      </c>
      <c r="G107" s="70">
        <v>0</v>
      </c>
      <c r="H107" s="70">
        <v>0</v>
      </c>
      <c r="I107" s="70">
        <v>0</v>
      </c>
      <c r="J107" s="70">
        <v>0</v>
      </c>
      <c r="K107" s="70">
        <v>0</v>
      </c>
      <c r="L107" s="70">
        <v>0</v>
      </c>
      <c r="M107" s="70">
        <v>0</v>
      </c>
      <c r="N107" s="70">
        <v>0</v>
      </c>
      <c r="O107" s="70">
        <v>0</v>
      </c>
      <c r="P107" s="46"/>
      <c r="Q107" s="70" cm="1">
        <f t="array" ref="Q107">SUM(D107:O107)</f>
        <v>0</v>
      </c>
      <c r="R107" s="47"/>
      <c r="S107" s="18"/>
      <c r="T107" s="18"/>
      <c r="U107" s="18"/>
      <c r="V107" s="18"/>
      <c r="W107" s="18"/>
      <c r="X107" s="18"/>
      <c r="Y107" s="19"/>
    </row>
    <row r="108" ht="20" customHeight="1">
      <c r="A108" s="40"/>
      <c r="B108" t="s" s="68">
        <v>97</v>
      </c>
      <c r="C108" s="79"/>
      <c r="D108" s="70">
        <v>0</v>
      </c>
      <c r="E108" s="70">
        <v>0</v>
      </c>
      <c r="F108" s="70">
        <v>0</v>
      </c>
      <c r="G108" s="70">
        <v>0</v>
      </c>
      <c r="H108" s="70">
        <v>0</v>
      </c>
      <c r="I108" s="70">
        <v>0</v>
      </c>
      <c r="J108" s="70">
        <v>0</v>
      </c>
      <c r="K108" s="70">
        <v>0</v>
      </c>
      <c r="L108" s="70">
        <v>0</v>
      </c>
      <c r="M108" s="70">
        <v>0</v>
      </c>
      <c r="N108" s="70">
        <v>0</v>
      </c>
      <c r="O108" s="70">
        <v>0</v>
      </c>
      <c r="P108" s="46"/>
      <c r="Q108" s="70" cm="1">
        <f t="array" ref="Q108">SUM(D108:O108)</f>
        <v>0</v>
      </c>
      <c r="R108" s="47"/>
      <c r="S108" s="18"/>
      <c r="T108" s="18"/>
      <c r="U108" s="18"/>
      <c r="V108" s="18"/>
      <c r="W108" s="18"/>
      <c r="X108" s="18"/>
      <c r="Y108" s="19"/>
    </row>
    <row r="109" ht="20" customHeight="1">
      <c r="A109" s="40"/>
      <c r="B109" t="s" s="72">
        <v>98</v>
      </c>
      <c r="C109" s="42"/>
      <c r="D109" s="43" cm="1">
        <f t="array" ref="D109">SUM(D105:D108)</f>
        <v>0</v>
      </c>
      <c r="E109" s="43" cm="1">
        <f t="array" ref="E109">SUM(E105:E108)</f>
        <v>0</v>
      </c>
      <c r="F109" s="43" cm="1">
        <f t="array" ref="F109">SUM(F105:F108)</f>
        <v>30718.78</v>
      </c>
      <c r="G109" s="43" cm="1">
        <f t="array" ref="G109">SUM(G105:G108)</f>
        <v>5250</v>
      </c>
      <c r="H109" s="43" cm="1">
        <f t="array" ref="H109">SUM(H105:H108)</f>
        <v>0</v>
      </c>
      <c r="I109" s="43" cm="1">
        <f t="array" ref="I109">SUM(I105:I108)</f>
        <v>0</v>
      </c>
      <c r="J109" s="43" cm="1">
        <f t="array" ref="J109">SUM(J105:J108)</f>
        <v>0</v>
      </c>
      <c r="K109" s="43" cm="1">
        <f t="array" ref="K109">SUM(K105:K108)</f>
        <v>0</v>
      </c>
      <c r="L109" s="43" cm="1">
        <f t="array" ref="L109">SUM(L105:L108)</f>
        <v>0</v>
      </c>
      <c r="M109" s="43" cm="1">
        <f t="array" ref="M109">SUM(M105:M108)</f>
        <v>0</v>
      </c>
      <c r="N109" s="43" cm="1">
        <f t="array" ref="N109">SUM(N105:N108)</f>
        <v>0</v>
      </c>
      <c r="O109" s="43" cm="1">
        <f t="array" ref="O109">SUM(O105:O108)</f>
        <v>0</v>
      </c>
      <c r="P109" s="46"/>
      <c r="Q109" s="43" cm="1">
        <f t="array" ref="Q109">SUM(Q105:Q108)</f>
        <v>35968.78</v>
      </c>
      <c r="R109" s="47"/>
      <c r="S109" s="18"/>
      <c r="T109" s="18"/>
      <c r="U109" s="18"/>
      <c r="V109" s="18"/>
      <c r="W109" s="18"/>
      <c r="X109" s="18"/>
      <c r="Y109" s="19"/>
    </row>
    <row r="110" ht="20" customHeight="1">
      <c r="A110" s="27"/>
      <c r="B110" s="97"/>
      <c r="C110" s="74"/>
      <c r="D110" s="97"/>
      <c r="E110" s="97"/>
      <c r="F110" s="97"/>
      <c r="G110" s="97"/>
      <c r="H110" s="97"/>
      <c r="I110" s="97"/>
      <c r="J110" s="97"/>
      <c r="K110" s="97"/>
      <c r="L110" s="97"/>
      <c r="M110" s="97"/>
      <c r="N110" s="97"/>
      <c r="O110" s="97"/>
      <c r="P110" s="18"/>
      <c r="Q110" s="97"/>
      <c r="R110" s="18"/>
      <c r="S110" s="18"/>
      <c r="T110" s="18"/>
      <c r="U110" s="18"/>
      <c r="V110" s="18"/>
      <c r="W110" s="18"/>
      <c r="X110" s="18"/>
      <c r="Y110" s="19"/>
    </row>
    <row r="111" ht="20" customHeight="1">
      <c r="A111" s="40"/>
      <c r="B111" t="s" s="41">
        <v>26</v>
      </c>
      <c r="C111" s="42"/>
      <c r="D111" s="43" cm="1">
        <f t="array" ref="D111">SUM(D56,D64,D73,D94,D102)</f>
        <v>166</v>
      </c>
      <c r="E111" s="43" cm="1">
        <f t="array" ref="E111">SUM(E56,E64,E73,E94,E102)</f>
        <v>37506</v>
      </c>
      <c r="F111" s="43" cm="1">
        <f t="array" ref="F111">SUM(F56,F64,F73,F94,F102)</f>
        <v>45500.98</v>
      </c>
      <c r="G111" s="43" cm="1">
        <f t="array" ref="G111">SUM(G56,G64,G73,G94,G102)</f>
        <v>55631.5</v>
      </c>
      <c r="H111" s="43" cm="1">
        <f t="array" ref="H111">SUM(H56,H64,H73,H94,H102)</f>
        <v>72766</v>
      </c>
      <c r="I111" s="43" cm="1">
        <f t="array" ref="I111">SUM(I56,I64,I73,I94,I102)</f>
        <v>59296</v>
      </c>
      <c r="J111" s="43" cm="1">
        <f t="array" ref="J111">SUM(J56,J64,J73,J94,J102)</f>
        <v>57826</v>
      </c>
      <c r="K111" s="43" cm="1">
        <f t="array" ref="K111">SUM(K56,K64,K73,K94,K102)</f>
        <v>42756</v>
      </c>
      <c r="L111" s="43" cm="1">
        <f t="array" ref="L111">SUM(L56,L64,L73,L94,L102)</f>
        <v>76736</v>
      </c>
      <c r="M111" s="43" cm="1">
        <f t="array" ref="M111">SUM(M56,M64,M73,M94,M102)</f>
        <v>57096</v>
      </c>
      <c r="N111" s="43" cm="1">
        <f t="array" ref="N111">SUM(N56,N64,N73,N94,N102)</f>
        <v>41996</v>
      </c>
      <c r="O111" s="43" cm="1">
        <f t="array" ref="O111">SUM(O56,O64,O73,O94,O102)</f>
        <v>0</v>
      </c>
      <c r="P111" s="99"/>
      <c r="Q111" s="43" cm="1">
        <f t="array" ref="Q111">SUM(Q56,Q64,Q73,Q94,Q102,Q109)</f>
        <v>583245.26</v>
      </c>
      <c r="R111" s="47"/>
      <c r="S111" s="18"/>
      <c r="T111" s="18"/>
      <c r="U111" s="18"/>
      <c r="V111" s="18"/>
      <c r="W111" s="18"/>
      <c r="X111" s="18"/>
      <c r="Y111" s="19"/>
    </row>
    <row r="112" ht="20" customHeight="1">
      <c r="A112" s="27"/>
      <c r="B112" s="100"/>
      <c r="C112" s="101"/>
      <c r="D112" s="102"/>
      <c r="E112" s="102"/>
      <c r="F112" s="102"/>
      <c r="G112" s="102"/>
      <c r="H112" s="102"/>
      <c r="I112" s="102"/>
      <c r="J112" s="102"/>
      <c r="K112" s="102"/>
      <c r="L112" s="102"/>
      <c r="M112" s="102"/>
      <c r="N112" s="102"/>
      <c r="O112" s="102"/>
      <c r="P112" s="18"/>
      <c r="Q112" s="102"/>
      <c r="R112" s="18"/>
      <c r="S112" s="18"/>
      <c r="T112" s="18"/>
      <c r="U112" s="18"/>
      <c r="V112" s="18"/>
      <c r="W112" s="18"/>
      <c r="X112" s="18"/>
      <c r="Y112" s="19"/>
    </row>
    <row r="113" ht="15" customHeight="1">
      <c r="A113" s="27"/>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9"/>
    </row>
    <row r="114" ht="15" customHeight="1">
      <c r="A114" s="27"/>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9"/>
    </row>
    <row r="115" ht="15" customHeight="1">
      <c r="A115" s="27"/>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9"/>
    </row>
    <row r="116" ht="15" customHeight="1">
      <c r="A116" s="27"/>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9"/>
    </row>
    <row r="117" ht="15" customHeight="1">
      <c r="A117" s="27"/>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9"/>
    </row>
    <row r="118" ht="15" customHeight="1">
      <c r="A118" s="27"/>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9"/>
    </row>
    <row r="119" ht="15" customHeight="1">
      <c r="A119" s="27"/>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9"/>
    </row>
    <row r="120" ht="15" customHeight="1">
      <c r="A120" s="27"/>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9"/>
    </row>
    <row r="121" ht="15" customHeight="1">
      <c r="A121" s="27"/>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9"/>
    </row>
    <row r="122" ht="15" customHeight="1">
      <c r="A122" s="27"/>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9"/>
    </row>
    <row r="123" ht="15" customHeight="1">
      <c r="A123" s="27"/>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9"/>
    </row>
    <row r="124" ht="15" customHeight="1">
      <c r="A124" s="27"/>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9"/>
    </row>
    <row r="125" ht="15" customHeight="1">
      <c r="A125" s="27"/>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9"/>
    </row>
    <row r="126" ht="15" customHeight="1">
      <c r="A126" s="27"/>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9"/>
    </row>
    <row r="127" ht="15" customHeight="1">
      <c r="A127" s="27"/>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9"/>
    </row>
    <row r="128" ht="15" customHeight="1">
      <c r="A128" s="27"/>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9"/>
    </row>
    <row r="129" ht="15" customHeight="1">
      <c r="A129" s="27"/>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9"/>
    </row>
    <row r="130" ht="15" customHeight="1">
      <c r="A130" s="27"/>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9"/>
    </row>
    <row r="131" ht="15" customHeight="1">
      <c r="A131" s="27"/>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9"/>
    </row>
    <row r="132" ht="15" customHeight="1">
      <c r="A132" s="27"/>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9"/>
    </row>
    <row r="133" ht="15" customHeight="1">
      <c r="A133" s="27"/>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9"/>
    </row>
    <row r="134" ht="15" customHeight="1">
      <c r="A134" s="27"/>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9"/>
    </row>
    <row r="135" ht="15" customHeight="1">
      <c r="A135" s="27"/>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9"/>
    </row>
    <row r="136" ht="15" customHeight="1">
      <c r="A136" s="27"/>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9"/>
    </row>
    <row r="137" ht="15" customHeight="1">
      <c r="A137" s="27"/>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9"/>
    </row>
    <row r="138" ht="15" customHeight="1">
      <c r="A138" s="27"/>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9"/>
    </row>
    <row r="139" ht="15" customHeight="1">
      <c r="A139" s="27"/>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9"/>
    </row>
    <row r="140" ht="15" customHeight="1">
      <c r="A140" s="27"/>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9"/>
    </row>
    <row r="141" ht="15" customHeight="1">
      <c r="A141" s="27"/>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9"/>
    </row>
    <row r="142" ht="15" customHeight="1">
      <c r="A142" s="27"/>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9"/>
    </row>
    <row r="143" ht="15" customHeight="1">
      <c r="A143" s="27"/>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9"/>
    </row>
    <row r="144" ht="15" customHeight="1">
      <c r="A144" s="27"/>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9"/>
    </row>
    <row r="145" ht="15" customHeight="1">
      <c r="A145" s="27"/>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9"/>
    </row>
    <row r="146" ht="15" customHeight="1">
      <c r="A146" s="27"/>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9"/>
    </row>
    <row r="147" ht="15" customHeight="1">
      <c r="A147" s="27"/>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9"/>
    </row>
    <row r="148" ht="15" customHeight="1">
      <c r="A148" s="27"/>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9"/>
    </row>
    <row r="149" ht="15" customHeight="1">
      <c r="A149" s="27"/>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9"/>
    </row>
    <row r="150" ht="15" customHeight="1">
      <c r="A150" s="27"/>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9"/>
    </row>
    <row r="151" ht="15" customHeight="1">
      <c r="A151" s="27"/>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9"/>
    </row>
    <row r="152" ht="15" customHeight="1">
      <c r="A152" s="27"/>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9"/>
    </row>
    <row r="153" ht="15" customHeight="1">
      <c r="A153" s="27"/>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9"/>
    </row>
    <row r="154" ht="15" customHeight="1">
      <c r="A154" s="27"/>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9"/>
    </row>
    <row r="155" ht="15" customHeight="1">
      <c r="A155" s="27"/>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9"/>
    </row>
    <row r="156" ht="15" customHeight="1">
      <c r="A156" s="27"/>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9"/>
    </row>
    <row r="157" ht="15" customHeight="1">
      <c r="A157" s="27"/>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9"/>
    </row>
    <row r="158" ht="15" customHeight="1">
      <c r="A158" s="27"/>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9"/>
    </row>
    <row r="159" ht="15" customHeight="1">
      <c r="A159" s="27"/>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9"/>
    </row>
    <row r="160" ht="15" customHeight="1">
      <c r="A160" s="27"/>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9"/>
    </row>
    <row r="161" ht="15" customHeight="1">
      <c r="A161" s="27"/>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9"/>
    </row>
    <row r="162" ht="15" customHeight="1">
      <c r="A162" s="27"/>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9"/>
    </row>
    <row r="163" ht="15" customHeight="1">
      <c r="A163" s="27"/>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9"/>
    </row>
    <row r="164" ht="15" customHeight="1">
      <c r="A164" s="27"/>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9"/>
    </row>
    <row r="165" ht="15" customHeight="1">
      <c r="A165" s="27"/>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9"/>
    </row>
    <row r="166" ht="15" customHeight="1">
      <c r="A166" s="27"/>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9"/>
    </row>
    <row r="167" ht="15" customHeight="1">
      <c r="A167" s="27"/>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9"/>
    </row>
    <row r="168" ht="15" customHeight="1">
      <c r="A168" s="27"/>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9"/>
    </row>
    <row r="169" ht="15" customHeight="1">
      <c r="A169" s="27"/>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9"/>
    </row>
    <row r="170" ht="15" customHeight="1">
      <c r="A170" s="27"/>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9"/>
    </row>
    <row r="171" ht="15" customHeight="1">
      <c r="A171" s="27"/>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9"/>
    </row>
    <row r="172" ht="15" customHeight="1">
      <c r="A172" s="27"/>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9"/>
    </row>
    <row r="173" ht="15" customHeight="1">
      <c r="A173" s="27"/>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9"/>
    </row>
    <row r="174" ht="15" customHeight="1">
      <c r="A174" s="27"/>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9"/>
    </row>
    <row r="175" ht="15" customHeight="1">
      <c r="A175" s="27"/>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9"/>
    </row>
    <row r="176" ht="15" customHeight="1">
      <c r="A176" s="27"/>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9"/>
    </row>
    <row r="177" ht="15" customHeight="1">
      <c r="A177" s="27"/>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9"/>
    </row>
    <row r="178" ht="15" customHeight="1">
      <c r="A178" s="27"/>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9"/>
    </row>
    <row r="179" ht="15" customHeight="1">
      <c r="A179" s="27"/>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9"/>
    </row>
    <row r="180" ht="15" customHeight="1">
      <c r="A180" s="27"/>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9"/>
    </row>
    <row r="181" ht="15" customHeight="1">
      <c r="A181" s="27"/>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9"/>
    </row>
    <row r="182" ht="15" customHeight="1">
      <c r="A182" s="27"/>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9"/>
    </row>
    <row r="183" ht="15" customHeight="1">
      <c r="A183" s="27"/>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9"/>
    </row>
    <row r="184" ht="15" customHeight="1">
      <c r="A184" s="27"/>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9"/>
    </row>
    <row r="185" ht="15" customHeight="1">
      <c r="A185" s="27"/>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9"/>
    </row>
    <row r="186" ht="15" customHeight="1">
      <c r="A186" s="27"/>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9"/>
    </row>
    <row r="187" ht="15" customHeight="1">
      <c r="A187" s="27"/>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9"/>
    </row>
    <row r="188" ht="15" customHeight="1">
      <c r="A188" s="27"/>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9"/>
    </row>
    <row r="189" ht="15" customHeight="1">
      <c r="A189" s="27"/>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9"/>
    </row>
    <row r="190" ht="15" customHeight="1">
      <c r="A190" s="27"/>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9"/>
    </row>
    <row r="191" ht="15" customHeight="1">
      <c r="A191" s="27"/>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9"/>
    </row>
    <row r="192" ht="15" customHeight="1">
      <c r="A192" s="27"/>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9"/>
    </row>
    <row r="193" ht="15" customHeight="1">
      <c r="A193" s="27"/>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9"/>
    </row>
    <row r="194" ht="15" customHeight="1">
      <c r="A194" s="27"/>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9"/>
    </row>
    <row r="195" ht="15" customHeight="1">
      <c r="A195" s="27"/>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9"/>
    </row>
    <row r="196" ht="15" customHeight="1">
      <c r="A196" s="27"/>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9"/>
    </row>
    <row r="197" ht="15" customHeight="1">
      <c r="A197" s="27"/>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9"/>
    </row>
    <row r="198" ht="15" customHeight="1">
      <c r="A198" s="27"/>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9"/>
    </row>
    <row r="199" ht="15" customHeight="1">
      <c r="A199" s="27"/>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9"/>
    </row>
    <row r="200" ht="15" customHeight="1">
      <c r="A200" s="27"/>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9"/>
    </row>
    <row r="201" ht="15" customHeight="1">
      <c r="A201" s="27"/>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9"/>
    </row>
    <row r="202" ht="15" customHeight="1">
      <c r="A202" s="27"/>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9"/>
    </row>
    <row r="203" ht="15" customHeight="1">
      <c r="A203" s="27"/>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9"/>
    </row>
    <row r="204" ht="15" customHeight="1">
      <c r="A204" s="27"/>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9"/>
    </row>
    <row r="205" ht="15" customHeight="1">
      <c r="A205" s="27"/>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9"/>
    </row>
    <row r="206" ht="15" customHeight="1">
      <c r="A206" s="27"/>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9"/>
    </row>
    <row r="207" ht="15" customHeight="1">
      <c r="A207" s="27"/>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9"/>
    </row>
    <row r="208" ht="15" customHeight="1">
      <c r="A208" s="27"/>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9"/>
    </row>
    <row r="209" ht="15" customHeight="1">
      <c r="A209" s="27"/>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9"/>
    </row>
    <row r="210" ht="15" customHeight="1">
      <c r="A210" s="27"/>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9"/>
    </row>
    <row r="211" ht="15" customHeight="1">
      <c r="A211" s="27"/>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9"/>
    </row>
    <row r="212" ht="15" customHeight="1">
      <c r="A212" s="27"/>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9"/>
    </row>
    <row r="213" ht="15" customHeight="1">
      <c r="A213" s="27"/>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9"/>
    </row>
    <row r="214" ht="15" customHeight="1">
      <c r="A214" s="27"/>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9"/>
    </row>
    <row r="215" ht="15" customHeight="1">
      <c r="A215" s="27"/>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9"/>
    </row>
    <row r="216" ht="15" customHeight="1">
      <c r="A216" s="27"/>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9"/>
    </row>
    <row r="217" ht="15" customHeight="1">
      <c r="A217" s="27"/>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9"/>
    </row>
    <row r="218" ht="15" customHeight="1">
      <c r="A218" s="27"/>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9"/>
    </row>
    <row r="219" ht="15" customHeight="1">
      <c r="A219" s="27"/>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9"/>
    </row>
    <row r="220" ht="15" customHeight="1">
      <c r="A220" s="27"/>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9"/>
    </row>
    <row r="221" ht="15" customHeight="1">
      <c r="A221" s="27"/>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9"/>
    </row>
    <row r="222" ht="15" customHeight="1">
      <c r="A222" s="27"/>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9"/>
    </row>
    <row r="223" ht="15" customHeight="1">
      <c r="A223" s="27"/>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9"/>
    </row>
    <row r="224" ht="15" customHeight="1">
      <c r="A224" s="27"/>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9"/>
    </row>
    <row r="225" ht="15" customHeight="1">
      <c r="A225" s="27"/>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9"/>
    </row>
    <row r="226" ht="15" customHeight="1">
      <c r="A226" s="27"/>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9"/>
    </row>
    <row r="227" ht="15" customHeight="1">
      <c r="A227" s="27"/>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9"/>
    </row>
    <row r="228" ht="15" customHeight="1">
      <c r="A228" s="27"/>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9"/>
    </row>
    <row r="229" ht="15" customHeight="1">
      <c r="A229" s="27"/>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9"/>
    </row>
    <row r="230" ht="15" customHeight="1">
      <c r="A230" s="27"/>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9"/>
    </row>
    <row r="231" ht="15" customHeight="1">
      <c r="A231" s="27"/>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9"/>
    </row>
    <row r="232" ht="15" customHeight="1">
      <c r="A232" s="27"/>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9"/>
    </row>
    <row r="233" ht="15" customHeight="1">
      <c r="A233" s="27"/>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9"/>
    </row>
    <row r="234" ht="15" customHeight="1">
      <c r="A234" s="27"/>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9"/>
    </row>
    <row r="235" ht="15" customHeight="1">
      <c r="A235" s="27"/>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9"/>
    </row>
    <row r="236" ht="15" customHeight="1">
      <c r="A236" s="27"/>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9"/>
    </row>
    <row r="237" ht="15" customHeight="1">
      <c r="A237" s="27"/>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9"/>
    </row>
    <row r="238" ht="15" customHeight="1">
      <c r="A238" s="27"/>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9"/>
    </row>
    <row r="239" ht="15" customHeight="1">
      <c r="A239" s="27"/>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9"/>
    </row>
    <row r="240" ht="15" customHeight="1">
      <c r="A240" s="27"/>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9"/>
    </row>
    <row r="241" ht="15" customHeight="1">
      <c r="A241" s="27"/>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9"/>
    </row>
    <row r="242" ht="15" customHeight="1">
      <c r="A242" s="27"/>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9"/>
    </row>
    <row r="243" ht="15" customHeight="1">
      <c r="A243" s="27"/>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9"/>
    </row>
    <row r="244" ht="15" customHeight="1">
      <c r="A244" s="27"/>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9"/>
    </row>
    <row r="245" ht="15" customHeight="1">
      <c r="A245" s="27"/>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9"/>
    </row>
    <row r="246" ht="15" customHeight="1">
      <c r="A246" s="27"/>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9"/>
    </row>
    <row r="247" ht="15" customHeight="1">
      <c r="A247" s="27"/>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9"/>
    </row>
    <row r="248" ht="15" customHeight="1">
      <c r="A248" s="27"/>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9"/>
    </row>
    <row r="249" ht="15" customHeight="1">
      <c r="A249" s="27"/>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9"/>
    </row>
    <row r="250" ht="15" customHeight="1">
      <c r="A250" s="27"/>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9"/>
    </row>
    <row r="251" ht="15" customHeight="1">
      <c r="A251" s="27"/>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9"/>
    </row>
    <row r="252" ht="15" customHeight="1">
      <c r="A252" s="27"/>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9"/>
    </row>
    <row r="253" ht="15" customHeight="1">
      <c r="A253" s="27"/>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9"/>
    </row>
    <row r="254" ht="15" customHeight="1">
      <c r="A254" s="27"/>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9"/>
    </row>
    <row r="255" ht="15" customHeight="1">
      <c r="A255" s="27"/>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9"/>
    </row>
    <row r="256" ht="15" customHeight="1">
      <c r="A256" s="27"/>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9"/>
    </row>
    <row r="257" ht="15" customHeight="1">
      <c r="A257" s="27"/>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9"/>
    </row>
    <row r="258" ht="15" customHeight="1">
      <c r="A258" s="27"/>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9"/>
    </row>
    <row r="259" ht="15" customHeight="1">
      <c r="A259" s="27"/>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9"/>
    </row>
    <row r="260" ht="15" customHeight="1">
      <c r="A260" s="27"/>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9"/>
    </row>
    <row r="261" ht="15" customHeight="1">
      <c r="A261" s="27"/>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9"/>
    </row>
    <row r="262" ht="15" customHeight="1">
      <c r="A262" s="27"/>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9"/>
    </row>
    <row r="263" ht="15" customHeight="1">
      <c r="A263" s="27"/>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9"/>
    </row>
    <row r="264" ht="15" customHeight="1">
      <c r="A264" s="27"/>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9"/>
    </row>
    <row r="265" ht="15" customHeight="1">
      <c r="A265" s="27"/>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9"/>
    </row>
    <row r="266" ht="15" customHeight="1">
      <c r="A266" s="27"/>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9"/>
    </row>
    <row r="267" ht="15" customHeight="1">
      <c r="A267" s="27"/>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9"/>
    </row>
    <row r="268" ht="15" customHeight="1">
      <c r="A268" s="27"/>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9"/>
    </row>
    <row r="269" ht="15" customHeight="1">
      <c r="A269" s="27"/>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9"/>
    </row>
    <row r="270" ht="15" customHeight="1">
      <c r="A270" s="27"/>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9"/>
    </row>
    <row r="271" ht="15" customHeight="1">
      <c r="A271" s="27"/>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9"/>
    </row>
    <row r="272" ht="15" customHeight="1">
      <c r="A272" s="27"/>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9"/>
    </row>
    <row r="273" ht="15" customHeight="1">
      <c r="A273" s="27"/>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9"/>
    </row>
    <row r="274" ht="15" customHeight="1">
      <c r="A274" s="27"/>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9"/>
    </row>
    <row r="275" ht="15" customHeight="1">
      <c r="A275" s="27"/>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9"/>
    </row>
    <row r="276" ht="15" customHeight="1">
      <c r="A276" s="27"/>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9"/>
    </row>
    <row r="277" ht="15" customHeight="1">
      <c r="A277" s="27"/>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9"/>
    </row>
    <row r="278" ht="15" customHeight="1">
      <c r="A278" s="27"/>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9"/>
    </row>
    <row r="279" ht="15" customHeight="1">
      <c r="A279" s="27"/>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9"/>
    </row>
    <row r="280" ht="15" customHeight="1">
      <c r="A280" s="27"/>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9"/>
    </row>
    <row r="281" ht="15" customHeight="1">
      <c r="A281" s="27"/>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9"/>
    </row>
    <row r="282" ht="15" customHeight="1">
      <c r="A282" s="27"/>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9"/>
    </row>
    <row r="283" ht="15" customHeight="1">
      <c r="A283" s="27"/>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9"/>
    </row>
    <row r="284" ht="15" customHeight="1">
      <c r="A284" s="27"/>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9"/>
    </row>
    <row r="285" ht="15" customHeight="1">
      <c r="A285" s="27"/>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9"/>
    </row>
    <row r="286" ht="15" customHeight="1">
      <c r="A286" s="27"/>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9"/>
    </row>
    <row r="287" ht="15" customHeight="1">
      <c r="A287" s="27"/>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9"/>
    </row>
    <row r="288" ht="15" customHeight="1">
      <c r="A288" s="27"/>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9"/>
    </row>
    <row r="289" ht="15" customHeight="1">
      <c r="A289" s="27"/>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9"/>
    </row>
    <row r="290" ht="15" customHeight="1">
      <c r="A290" s="27"/>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9"/>
    </row>
    <row r="291" ht="15" customHeight="1">
      <c r="A291" s="27"/>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9"/>
    </row>
    <row r="292" ht="15" customHeight="1">
      <c r="A292" s="27"/>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9"/>
    </row>
    <row r="293" ht="15" customHeight="1">
      <c r="A293" s="27"/>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9"/>
    </row>
    <row r="294" ht="15" customHeight="1">
      <c r="A294" s="27"/>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9"/>
    </row>
    <row r="295" ht="15" customHeight="1">
      <c r="A295" s="27"/>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9"/>
    </row>
    <row r="296" ht="15" customHeight="1">
      <c r="A296" s="27"/>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9"/>
    </row>
    <row r="297" ht="15" customHeight="1">
      <c r="A297" s="27"/>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9"/>
    </row>
    <row r="298" ht="15" customHeight="1">
      <c r="A298" s="27"/>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9"/>
    </row>
    <row r="299" ht="15" customHeight="1">
      <c r="A299" s="27"/>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9"/>
    </row>
    <row r="300" ht="15" customHeight="1">
      <c r="A300" s="27"/>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9"/>
    </row>
    <row r="301" ht="15" customHeight="1">
      <c r="A301" s="27"/>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9"/>
    </row>
    <row r="302" ht="15" customHeight="1">
      <c r="A302" s="27"/>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9"/>
    </row>
    <row r="303" ht="15" customHeight="1">
      <c r="A303" s="27"/>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9"/>
    </row>
    <row r="304" ht="15" customHeight="1">
      <c r="A304" s="27"/>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9"/>
    </row>
    <row r="305" ht="15" customHeight="1">
      <c r="A305" s="27"/>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9"/>
    </row>
    <row r="306" ht="15" customHeight="1">
      <c r="A306" s="27"/>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9"/>
    </row>
    <row r="307" ht="15" customHeight="1">
      <c r="A307" s="27"/>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9"/>
    </row>
    <row r="308" ht="15" customHeight="1">
      <c r="A308" s="27"/>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9"/>
    </row>
    <row r="309" ht="15" customHeight="1">
      <c r="A309" s="27"/>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9"/>
    </row>
    <row r="310" ht="15" customHeight="1">
      <c r="A310" s="27"/>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9"/>
    </row>
    <row r="311" ht="15" customHeight="1">
      <c r="A311" s="27"/>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9"/>
    </row>
    <row r="312" ht="15" customHeight="1">
      <c r="A312" s="27"/>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9"/>
    </row>
    <row r="313" ht="15" customHeight="1">
      <c r="A313" s="27"/>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9"/>
    </row>
    <row r="314" ht="15" customHeight="1">
      <c r="A314" s="27"/>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9"/>
    </row>
    <row r="315" ht="15" customHeight="1">
      <c r="A315" s="27"/>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9"/>
    </row>
    <row r="316" ht="15" customHeight="1">
      <c r="A316" s="27"/>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9"/>
    </row>
    <row r="317" ht="15" customHeight="1">
      <c r="A317" s="27"/>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9"/>
    </row>
    <row r="318" ht="15" customHeight="1">
      <c r="A318" s="27"/>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9"/>
    </row>
    <row r="319" ht="15" customHeight="1">
      <c r="A319" s="27"/>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9"/>
    </row>
    <row r="320" ht="15" customHeight="1">
      <c r="A320" s="27"/>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9"/>
    </row>
    <row r="321" ht="15" customHeight="1">
      <c r="A321" s="27"/>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9"/>
    </row>
    <row r="322" ht="15" customHeight="1">
      <c r="A322" s="27"/>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9"/>
    </row>
    <row r="323" ht="15" customHeight="1">
      <c r="A323" s="27"/>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9"/>
    </row>
    <row r="324" ht="15" customHeight="1">
      <c r="A324" s="27"/>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9"/>
    </row>
    <row r="325" ht="15" customHeight="1">
      <c r="A325" s="27"/>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9"/>
    </row>
    <row r="326" ht="15" customHeight="1">
      <c r="A326" s="27"/>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9"/>
    </row>
    <row r="327" ht="15" customHeight="1">
      <c r="A327" s="27"/>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9"/>
    </row>
    <row r="328" ht="15" customHeight="1">
      <c r="A328" s="27"/>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9"/>
    </row>
    <row r="329" ht="15" customHeight="1">
      <c r="A329" s="27"/>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9"/>
    </row>
    <row r="330" ht="15" customHeight="1">
      <c r="A330" s="27"/>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9"/>
    </row>
    <row r="331" ht="15" customHeight="1">
      <c r="A331" s="27"/>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9"/>
    </row>
    <row r="332" ht="15" customHeight="1">
      <c r="A332" s="27"/>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9"/>
    </row>
    <row r="333" ht="15" customHeight="1">
      <c r="A333" s="27"/>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9"/>
    </row>
    <row r="334" ht="15" customHeight="1">
      <c r="A334" s="27"/>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9"/>
    </row>
    <row r="335" ht="15" customHeight="1">
      <c r="A335" s="27"/>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9"/>
    </row>
    <row r="336" ht="15" customHeight="1">
      <c r="A336" s="27"/>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9"/>
    </row>
    <row r="337" ht="15" customHeight="1">
      <c r="A337" s="27"/>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9"/>
    </row>
    <row r="338" ht="15" customHeight="1">
      <c r="A338" s="27"/>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9"/>
    </row>
    <row r="339" ht="15" customHeight="1">
      <c r="A339" s="27"/>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9"/>
    </row>
    <row r="340" ht="15" customHeight="1">
      <c r="A340" s="27"/>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9"/>
    </row>
    <row r="341" ht="15" customHeight="1">
      <c r="A341" s="27"/>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9"/>
    </row>
    <row r="342" ht="15" customHeight="1">
      <c r="A342" s="27"/>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9"/>
    </row>
    <row r="343" ht="15" customHeight="1">
      <c r="A343" s="27"/>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9"/>
    </row>
    <row r="344" ht="15" customHeight="1">
      <c r="A344" s="27"/>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9"/>
    </row>
    <row r="345" ht="15" customHeight="1">
      <c r="A345" s="27"/>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9"/>
    </row>
    <row r="346" ht="15" customHeight="1">
      <c r="A346" s="27"/>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9"/>
    </row>
    <row r="347" ht="15" customHeight="1">
      <c r="A347" s="27"/>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9"/>
    </row>
    <row r="348" ht="15" customHeight="1">
      <c r="A348" s="27"/>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9"/>
    </row>
    <row r="349" ht="15" customHeight="1">
      <c r="A349" s="27"/>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9"/>
    </row>
    <row r="350" ht="15" customHeight="1">
      <c r="A350" s="27"/>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9"/>
    </row>
    <row r="351" ht="15" customHeight="1">
      <c r="A351" s="27"/>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9"/>
    </row>
    <row r="352" ht="15" customHeight="1">
      <c r="A352" s="27"/>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9"/>
    </row>
    <row r="353" ht="15" customHeight="1">
      <c r="A353" s="27"/>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9"/>
    </row>
    <row r="354" ht="15" customHeight="1">
      <c r="A354" s="27"/>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9"/>
    </row>
    <row r="355" ht="15" customHeight="1">
      <c r="A355" s="27"/>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9"/>
    </row>
    <row r="356" ht="15" customHeight="1">
      <c r="A356" s="27"/>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9"/>
    </row>
    <row r="357" ht="15" customHeight="1">
      <c r="A357" s="27"/>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9"/>
    </row>
    <row r="358" ht="15" customHeight="1">
      <c r="A358" s="27"/>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9"/>
    </row>
    <row r="359" ht="15" customHeight="1">
      <c r="A359" s="27"/>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9"/>
    </row>
    <row r="360" ht="15" customHeight="1">
      <c r="A360" s="27"/>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9"/>
    </row>
    <row r="361" ht="15" customHeight="1">
      <c r="A361" s="27"/>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9"/>
    </row>
    <row r="362" ht="15" customHeight="1">
      <c r="A362" s="27"/>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9"/>
    </row>
    <row r="363" ht="15" customHeight="1">
      <c r="A363" s="27"/>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9"/>
    </row>
    <row r="364" ht="15" customHeight="1">
      <c r="A364" s="27"/>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9"/>
    </row>
    <row r="365" ht="15" customHeight="1">
      <c r="A365" s="27"/>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9"/>
    </row>
    <row r="366" ht="15" customHeight="1">
      <c r="A366" s="27"/>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9"/>
    </row>
    <row r="367" ht="15" customHeight="1">
      <c r="A367" s="27"/>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9"/>
    </row>
    <row r="368" ht="15" customHeight="1">
      <c r="A368" s="27"/>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9"/>
    </row>
    <row r="369" ht="15" customHeight="1">
      <c r="A369" s="27"/>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9"/>
    </row>
    <row r="370" ht="15" customHeight="1">
      <c r="A370" s="27"/>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9"/>
    </row>
    <row r="371" ht="15" customHeight="1">
      <c r="A371" s="27"/>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9"/>
    </row>
    <row r="372" ht="15" customHeight="1">
      <c r="A372" s="27"/>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9"/>
    </row>
    <row r="373" ht="15" customHeight="1">
      <c r="A373" s="27"/>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9"/>
    </row>
    <row r="374" ht="15" customHeight="1">
      <c r="A374" s="27"/>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9"/>
    </row>
    <row r="375" ht="15" customHeight="1">
      <c r="A375" s="27"/>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9"/>
    </row>
    <row r="376" ht="15" customHeight="1">
      <c r="A376" s="27"/>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9"/>
    </row>
    <row r="377" ht="15" customHeight="1">
      <c r="A377" s="27"/>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9"/>
    </row>
    <row r="378" ht="15" customHeight="1">
      <c r="A378" s="27"/>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9"/>
    </row>
    <row r="379" ht="15" customHeight="1">
      <c r="A379" s="27"/>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9"/>
    </row>
    <row r="380" ht="15" customHeight="1">
      <c r="A380" s="27"/>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9"/>
    </row>
    <row r="381" ht="15" customHeight="1">
      <c r="A381" s="27"/>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9"/>
    </row>
    <row r="382" ht="15" customHeight="1">
      <c r="A382" s="27"/>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9"/>
    </row>
    <row r="383" ht="15" customHeight="1">
      <c r="A383" s="27"/>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9"/>
    </row>
    <row r="384" ht="15" customHeight="1">
      <c r="A384" s="27"/>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9"/>
    </row>
    <row r="385" ht="15" customHeight="1">
      <c r="A385" s="27"/>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9"/>
    </row>
    <row r="386" ht="15" customHeight="1">
      <c r="A386" s="27"/>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9"/>
    </row>
    <row r="387" ht="15" customHeight="1">
      <c r="A387" s="27"/>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9"/>
    </row>
    <row r="388" ht="15" customHeight="1">
      <c r="A388" s="27"/>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9"/>
    </row>
    <row r="389" ht="15" customHeight="1">
      <c r="A389" s="27"/>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9"/>
    </row>
    <row r="390" ht="15" customHeight="1">
      <c r="A390" s="27"/>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9"/>
    </row>
    <row r="391" ht="15" customHeight="1">
      <c r="A391" s="27"/>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9"/>
    </row>
    <row r="392" ht="15" customHeight="1">
      <c r="A392" s="27"/>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9"/>
    </row>
    <row r="393" ht="15" customHeight="1">
      <c r="A393" s="27"/>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9"/>
    </row>
    <row r="394" ht="15" customHeight="1">
      <c r="A394" s="27"/>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9"/>
    </row>
    <row r="395" ht="15" customHeight="1">
      <c r="A395" s="27"/>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9"/>
    </row>
    <row r="396" ht="15" customHeight="1">
      <c r="A396" s="27"/>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9"/>
    </row>
    <row r="397" ht="15" customHeight="1">
      <c r="A397" s="27"/>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9"/>
    </row>
    <row r="398" ht="15" customHeight="1">
      <c r="A398" s="27"/>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9"/>
    </row>
    <row r="399" ht="15" customHeight="1">
      <c r="A399" s="27"/>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9"/>
    </row>
    <row r="400" ht="15" customHeight="1">
      <c r="A400" s="27"/>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9"/>
    </row>
    <row r="401" ht="15" customHeight="1">
      <c r="A401" s="27"/>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9"/>
    </row>
    <row r="402" ht="15" customHeight="1">
      <c r="A402" s="27"/>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9"/>
    </row>
    <row r="403" ht="15" customHeight="1">
      <c r="A403" s="27"/>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9"/>
    </row>
    <row r="404" ht="15" customHeight="1">
      <c r="A404" s="27"/>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9"/>
    </row>
    <row r="405" ht="15" customHeight="1">
      <c r="A405" s="27"/>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9"/>
    </row>
    <row r="406" ht="15" customHeight="1">
      <c r="A406" s="27"/>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9"/>
    </row>
    <row r="407" ht="15" customHeight="1">
      <c r="A407" s="27"/>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9"/>
    </row>
    <row r="408" ht="15" customHeight="1">
      <c r="A408" s="27"/>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9"/>
    </row>
    <row r="409" ht="15" customHeight="1">
      <c r="A409" s="27"/>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9"/>
    </row>
    <row r="410" ht="15" customHeight="1">
      <c r="A410" s="27"/>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9"/>
    </row>
    <row r="411" ht="15" customHeight="1">
      <c r="A411" s="27"/>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9"/>
    </row>
    <row r="412" ht="15" customHeight="1">
      <c r="A412" s="27"/>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9"/>
    </row>
    <row r="413" ht="15" customHeight="1">
      <c r="A413" s="27"/>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9"/>
    </row>
    <row r="414" ht="15" customHeight="1">
      <c r="A414" s="27"/>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9"/>
    </row>
    <row r="415" ht="15" customHeight="1">
      <c r="A415" s="27"/>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9"/>
    </row>
    <row r="416" ht="15" customHeight="1">
      <c r="A416" s="27"/>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9"/>
    </row>
    <row r="417" ht="15" customHeight="1">
      <c r="A417" s="27"/>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9"/>
    </row>
    <row r="418" ht="15" customHeight="1">
      <c r="A418" s="27"/>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9"/>
    </row>
    <row r="419" ht="15" customHeight="1">
      <c r="A419" s="27"/>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9"/>
    </row>
    <row r="420" ht="15" customHeight="1">
      <c r="A420" s="27"/>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9"/>
    </row>
    <row r="421" ht="15" customHeight="1">
      <c r="A421" s="27"/>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9"/>
    </row>
    <row r="422" ht="15" customHeight="1">
      <c r="A422" s="27"/>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9"/>
    </row>
    <row r="423" ht="15" customHeight="1">
      <c r="A423" s="27"/>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9"/>
    </row>
    <row r="424" ht="15" customHeight="1">
      <c r="A424" s="27"/>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9"/>
    </row>
    <row r="425" ht="15" customHeight="1">
      <c r="A425" s="27"/>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9"/>
    </row>
    <row r="426" ht="15" customHeight="1">
      <c r="A426" s="27"/>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9"/>
    </row>
    <row r="427" ht="15" customHeight="1">
      <c r="A427" s="27"/>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9"/>
    </row>
    <row r="428" ht="15" customHeight="1">
      <c r="A428" s="27"/>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9"/>
    </row>
    <row r="429" ht="15" customHeight="1">
      <c r="A429" s="27"/>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9"/>
    </row>
    <row r="430" ht="15" customHeight="1">
      <c r="A430" s="27"/>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9"/>
    </row>
    <row r="431" ht="15" customHeight="1">
      <c r="A431" s="27"/>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9"/>
    </row>
    <row r="432" ht="15" customHeight="1">
      <c r="A432" s="27"/>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9"/>
    </row>
    <row r="433" ht="15" customHeight="1">
      <c r="A433" s="27"/>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9"/>
    </row>
    <row r="434" ht="15" customHeight="1">
      <c r="A434" s="27"/>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9"/>
    </row>
    <row r="435" ht="15" customHeight="1">
      <c r="A435" s="27"/>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9"/>
    </row>
    <row r="436" ht="15" customHeight="1">
      <c r="A436" s="27"/>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9"/>
    </row>
    <row r="437" ht="15" customHeight="1">
      <c r="A437" s="27"/>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9"/>
    </row>
    <row r="438" ht="15" customHeight="1">
      <c r="A438" s="27"/>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9"/>
    </row>
    <row r="439" ht="15" customHeight="1">
      <c r="A439" s="27"/>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9"/>
    </row>
    <row r="440" ht="15" customHeight="1">
      <c r="A440" s="27"/>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9"/>
    </row>
    <row r="441" ht="15" customHeight="1">
      <c r="A441" s="27"/>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9"/>
    </row>
    <row r="442" ht="15" customHeight="1">
      <c r="A442" s="27"/>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9"/>
    </row>
    <row r="443" ht="15" customHeight="1">
      <c r="A443" s="27"/>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9"/>
    </row>
    <row r="444" ht="15" customHeight="1">
      <c r="A444" s="27"/>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9"/>
    </row>
    <row r="445" ht="15" customHeight="1">
      <c r="A445" s="27"/>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9"/>
    </row>
    <row r="446" ht="15" customHeight="1">
      <c r="A446" s="27"/>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9"/>
    </row>
    <row r="447" ht="15" customHeight="1">
      <c r="A447" s="27"/>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9"/>
    </row>
    <row r="448" ht="15" customHeight="1">
      <c r="A448" s="27"/>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9"/>
    </row>
    <row r="449" ht="15" customHeight="1">
      <c r="A449" s="27"/>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9"/>
    </row>
    <row r="450" ht="15" customHeight="1">
      <c r="A450" s="27"/>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9"/>
    </row>
    <row r="451" ht="15" customHeight="1">
      <c r="A451" s="27"/>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9"/>
    </row>
    <row r="452" ht="15" customHeight="1">
      <c r="A452" s="27"/>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9"/>
    </row>
    <row r="453" ht="15" customHeight="1">
      <c r="A453" s="27"/>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9"/>
    </row>
    <row r="454" ht="15" customHeight="1">
      <c r="A454" s="27"/>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9"/>
    </row>
    <row r="455" ht="15" customHeight="1">
      <c r="A455" s="27"/>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9"/>
    </row>
    <row r="456" ht="15" customHeight="1">
      <c r="A456" s="27"/>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9"/>
    </row>
    <row r="457" ht="15" customHeight="1">
      <c r="A457" s="27"/>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9"/>
    </row>
    <row r="458" ht="15" customHeight="1">
      <c r="A458" s="27"/>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9"/>
    </row>
    <row r="459" ht="15" customHeight="1">
      <c r="A459" s="27"/>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9"/>
    </row>
    <row r="460" ht="15" customHeight="1">
      <c r="A460" s="27"/>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9"/>
    </row>
    <row r="461" ht="15" customHeight="1">
      <c r="A461" s="27"/>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9"/>
    </row>
    <row r="462" ht="15" customHeight="1">
      <c r="A462" s="27"/>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9"/>
    </row>
    <row r="463" ht="15" customHeight="1">
      <c r="A463" s="27"/>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9"/>
    </row>
    <row r="464" ht="15" customHeight="1">
      <c r="A464" s="27"/>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9"/>
    </row>
    <row r="465" ht="15" customHeight="1">
      <c r="A465" s="27"/>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9"/>
    </row>
    <row r="466" ht="15" customHeight="1">
      <c r="A466" s="27"/>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9"/>
    </row>
    <row r="467" ht="15" customHeight="1">
      <c r="A467" s="27"/>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9"/>
    </row>
    <row r="468" ht="15" customHeight="1">
      <c r="A468" s="27"/>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9"/>
    </row>
    <row r="469" ht="15" customHeight="1">
      <c r="A469" s="27"/>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9"/>
    </row>
    <row r="470" ht="15" customHeight="1">
      <c r="A470" s="27"/>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9"/>
    </row>
    <row r="471" ht="15" customHeight="1">
      <c r="A471" s="27"/>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9"/>
    </row>
    <row r="472" ht="15" customHeight="1">
      <c r="A472" s="27"/>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9"/>
    </row>
    <row r="473" ht="15" customHeight="1">
      <c r="A473" s="27"/>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9"/>
    </row>
    <row r="474" ht="15" customHeight="1">
      <c r="A474" s="27"/>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9"/>
    </row>
    <row r="475" ht="15" customHeight="1">
      <c r="A475" s="27"/>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9"/>
    </row>
    <row r="476" ht="15" customHeight="1">
      <c r="A476" s="27"/>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9"/>
    </row>
    <row r="477" ht="15" customHeight="1">
      <c r="A477" s="27"/>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9"/>
    </row>
    <row r="478" ht="15" customHeight="1">
      <c r="A478" s="27"/>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9"/>
    </row>
    <row r="479" ht="15" customHeight="1">
      <c r="A479" s="27"/>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9"/>
    </row>
    <row r="480" ht="15" customHeight="1">
      <c r="A480" s="27"/>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9"/>
    </row>
    <row r="481" ht="15" customHeight="1">
      <c r="A481" s="27"/>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9"/>
    </row>
    <row r="482" ht="15" customHeight="1">
      <c r="A482" s="27"/>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9"/>
    </row>
    <row r="483" ht="15" customHeight="1">
      <c r="A483" s="27"/>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9"/>
    </row>
    <row r="484" ht="15" customHeight="1">
      <c r="A484" s="27"/>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9"/>
    </row>
    <row r="485" ht="15" customHeight="1">
      <c r="A485" s="27"/>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9"/>
    </row>
    <row r="486" ht="15" customHeight="1">
      <c r="A486" s="27"/>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9"/>
    </row>
    <row r="487" ht="15" customHeight="1">
      <c r="A487" s="27"/>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9"/>
    </row>
    <row r="488" ht="15" customHeight="1">
      <c r="A488" s="27"/>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9"/>
    </row>
    <row r="489" ht="15" customHeight="1">
      <c r="A489" s="27"/>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9"/>
    </row>
    <row r="490" ht="15" customHeight="1">
      <c r="A490" s="27"/>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9"/>
    </row>
    <row r="491" ht="15" customHeight="1">
      <c r="A491" s="27"/>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9"/>
    </row>
    <row r="492" ht="15" customHeight="1">
      <c r="A492" s="27"/>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9"/>
    </row>
    <row r="493" ht="15" customHeight="1">
      <c r="A493" s="27"/>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9"/>
    </row>
    <row r="494" ht="15" customHeight="1">
      <c r="A494" s="27"/>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9"/>
    </row>
    <row r="495" ht="15" customHeight="1">
      <c r="A495" s="27"/>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9"/>
    </row>
    <row r="496" ht="15" customHeight="1">
      <c r="A496" s="27"/>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9"/>
    </row>
    <row r="497" ht="15" customHeight="1">
      <c r="A497" s="27"/>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9"/>
    </row>
    <row r="498" ht="15" customHeight="1">
      <c r="A498" s="27"/>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9"/>
    </row>
    <row r="499" ht="15" customHeight="1">
      <c r="A499" s="27"/>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9"/>
    </row>
    <row r="500" ht="15" customHeight="1">
      <c r="A500" s="27"/>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9"/>
    </row>
    <row r="501" ht="15" customHeight="1">
      <c r="A501" s="27"/>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9"/>
    </row>
    <row r="502" ht="15" customHeight="1">
      <c r="A502" s="27"/>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9"/>
    </row>
    <row r="503" ht="15" customHeight="1">
      <c r="A503" s="27"/>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9"/>
    </row>
    <row r="504" ht="15" customHeight="1">
      <c r="A504" s="27"/>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9"/>
    </row>
    <row r="505" ht="15" customHeight="1">
      <c r="A505" s="27"/>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9"/>
    </row>
    <row r="506" ht="15" customHeight="1">
      <c r="A506" s="27"/>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9"/>
    </row>
    <row r="507" ht="15" customHeight="1">
      <c r="A507" s="27"/>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9"/>
    </row>
    <row r="508" ht="15" customHeight="1">
      <c r="A508" s="27"/>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9"/>
    </row>
    <row r="509" ht="15" customHeight="1">
      <c r="A509" s="27"/>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9"/>
    </row>
    <row r="510" ht="15" customHeight="1">
      <c r="A510" s="27"/>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9"/>
    </row>
    <row r="511" ht="15" customHeight="1">
      <c r="A511" s="27"/>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9"/>
    </row>
    <row r="512" ht="15" customHeight="1">
      <c r="A512" s="27"/>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9"/>
    </row>
    <row r="513" ht="15" customHeight="1">
      <c r="A513" s="27"/>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9"/>
    </row>
    <row r="514" ht="15" customHeight="1">
      <c r="A514" s="27"/>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9"/>
    </row>
    <row r="515" ht="15" customHeight="1">
      <c r="A515" s="27"/>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9"/>
    </row>
    <row r="516" ht="15" customHeight="1">
      <c r="A516" s="27"/>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9"/>
    </row>
    <row r="517" ht="15" customHeight="1">
      <c r="A517" s="27"/>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9"/>
    </row>
    <row r="518" ht="15" customHeight="1">
      <c r="A518" s="27"/>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9"/>
    </row>
    <row r="519" ht="15" customHeight="1">
      <c r="A519" s="27"/>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9"/>
    </row>
    <row r="520" ht="15" customHeight="1">
      <c r="A520" s="27"/>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9"/>
    </row>
    <row r="521" ht="15" customHeight="1">
      <c r="A521" s="27"/>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9"/>
    </row>
    <row r="522" ht="15" customHeight="1">
      <c r="A522" s="27"/>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9"/>
    </row>
    <row r="523" ht="15" customHeight="1">
      <c r="A523" s="27"/>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9"/>
    </row>
    <row r="524" ht="15" customHeight="1">
      <c r="A524" s="27"/>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9"/>
    </row>
    <row r="525" ht="15" customHeight="1">
      <c r="A525" s="27"/>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9"/>
    </row>
    <row r="526" ht="15" customHeight="1">
      <c r="A526" s="27"/>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9"/>
    </row>
    <row r="527" ht="15" customHeight="1">
      <c r="A527" s="27"/>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9"/>
    </row>
    <row r="528" ht="15" customHeight="1">
      <c r="A528" s="27"/>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9"/>
    </row>
    <row r="529" ht="15" customHeight="1">
      <c r="A529" s="27"/>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9"/>
    </row>
    <row r="530" ht="15" customHeight="1">
      <c r="A530" s="27"/>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9"/>
    </row>
    <row r="531" ht="15" customHeight="1">
      <c r="A531" s="27"/>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9"/>
    </row>
    <row r="532" ht="15" customHeight="1">
      <c r="A532" s="27"/>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9"/>
    </row>
    <row r="533" ht="15" customHeight="1">
      <c r="A533" s="27"/>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9"/>
    </row>
    <row r="534" ht="15" customHeight="1">
      <c r="A534" s="27"/>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9"/>
    </row>
    <row r="535" ht="15" customHeight="1">
      <c r="A535" s="27"/>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9"/>
    </row>
    <row r="536" ht="15" customHeight="1">
      <c r="A536" s="27"/>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9"/>
    </row>
    <row r="537" ht="15" customHeight="1">
      <c r="A537" s="27"/>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9"/>
    </row>
    <row r="538" ht="15" customHeight="1">
      <c r="A538" s="27"/>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9"/>
    </row>
    <row r="539" ht="15" customHeight="1">
      <c r="A539" s="27"/>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9"/>
    </row>
    <row r="540" ht="15" customHeight="1">
      <c r="A540" s="27"/>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9"/>
    </row>
    <row r="541" ht="15" customHeight="1">
      <c r="A541" s="27"/>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9"/>
    </row>
    <row r="542" ht="15" customHeight="1">
      <c r="A542" s="27"/>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9"/>
    </row>
    <row r="543" ht="15" customHeight="1">
      <c r="A543" s="27"/>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9"/>
    </row>
    <row r="544" ht="15" customHeight="1">
      <c r="A544" s="27"/>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9"/>
    </row>
    <row r="545" ht="15" customHeight="1">
      <c r="A545" s="27"/>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9"/>
    </row>
    <row r="546" ht="15" customHeight="1">
      <c r="A546" s="27"/>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9"/>
    </row>
    <row r="547" ht="15" customHeight="1">
      <c r="A547" s="27"/>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9"/>
    </row>
    <row r="548" ht="15" customHeight="1">
      <c r="A548" s="27"/>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9"/>
    </row>
    <row r="549" ht="15" customHeight="1">
      <c r="A549" s="27"/>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9"/>
    </row>
    <row r="550" ht="15" customHeight="1">
      <c r="A550" s="27"/>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9"/>
    </row>
    <row r="551" ht="15" customHeight="1">
      <c r="A551" s="27"/>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9"/>
    </row>
    <row r="552" ht="15" customHeight="1">
      <c r="A552" s="27"/>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9"/>
    </row>
    <row r="553" ht="15" customHeight="1">
      <c r="A553" s="27"/>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9"/>
    </row>
    <row r="554" ht="15" customHeight="1">
      <c r="A554" s="27"/>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9"/>
    </row>
    <row r="555" ht="15" customHeight="1">
      <c r="A555" s="27"/>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9"/>
    </row>
    <row r="556" ht="15" customHeight="1">
      <c r="A556" s="27"/>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9"/>
    </row>
    <row r="557" ht="15" customHeight="1">
      <c r="A557" s="27"/>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9"/>
    </row>
    <row r="558" ht="15" customHeight="1">
      <c r="A558" s="27"/>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9"/>
    </row>
    <row r="559" ht="15" customHeight="1">
      <c r="A559" s="27"/>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9"/>
    </row>
    <row r="560" ht="15" customHeight="1">
      <c r="A560" s="27"/>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9"/>
    </row>
    <row r="561" ht="15" customHeight="1">
      <c r="A561" s="27"/>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9"/>
    </row>
    <row r="562" ht="15" customHeight="1">
      <c r="A562" s="27"/>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9"/>
    </row>
    <row r="563" ht="15" customHeight="1">
      <c r="A563" s="27"/>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9"/>
    </row>
    <row r="564" ht="15" customHeight="1">
      <c r="A564" s="27"/>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9"/>
    </row>
    <row r="565" ht="15" customHeight="1">
      <c r="A565" s="27"/>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9"/>
    </row>
    <row r="566" ht="15" customHeight="1">
      <c r="A566" s="27"/>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9"/>
    </row>
    <row r="567" ht="15" customHeight="1">
      <c r="A567" s="27"/>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9"/>
    </row>
    <row r="568" ht="15" customHeight="1">
      <c r="A568" s="27"/>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9"/>
    </row>
    <row r="569" ht="15" customHeight="1">
      <c r="A569" s="27"/>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9"/>
    </row>
    <row r="570" ht="15" customHeight="1">
      <c r="A570" s="27"/>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9"/>
    </row>
    <row r="571" ht="15" customHeight="1">
      <c r="A571" s="27"/>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9"/>
    </row>
    <row r="572" ht="15" customHeight="1">
      <c r="A572" s="27"/>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9"/>
    </row>
    <row r="573" ht="15" customHeight="1">
      <c r="A573" s="27"/>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9"/>
    </row>
    <row r="574" ht="15" customHeight="1">
      <c r="A574" s="27"/>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9"/>
    </row>
    <row r="575" ht="15" customHeight="1">
      <c r="A575" s="27"/>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9"/>
    </row>
    <row r="576" ht="15" customHeight="1">
      <c r="A576" s="27"/>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9"/>
    </row>
    <row r="577" ht="15" customHeight="1">
      <c r="A577" s="27"/>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9"/>
    </row>
    <row r="578" ht="15" customHeight="1">
      <c r="A578" s="27"/>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9"/>
    </row>
    <row r="579" ht="15" customHeight="1">
      <c r="A579" s="27"/>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9"/>
    </row>
    <row r="580" ht="15" customHeight="1">
      <c r="A580" s="27"/>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9"/>
    </row>
    <row r="581" ht="15" customHeight="1">
      <c r="A581" s="27"/>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9"/>
    </row>
    <row r="582" ht="15" customHeight="1">
      <c r="A582" s="27"/>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9"/>
    </row>
    <row r="583" ht="15" customHeight="1">
      <c r="A583" s="27"/>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9"/>
    </row>
    <row r="584" ht="15" customHeight="1">
      <c r="A584" s="27"/>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9"/>
    </row>
    <row r="585" ht="15" customHeight="1">
      <c r="A585" s="27"/>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9"/>
    </row>
    <row r="586" ht="15" customHeight="1">
      <c r="A586" s="27"/>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9"/>
    </row>
    <row r="587" ht="15" customHeight="1">
      <c r="A587" s="27"/>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9"/>
    </row>
    <row r="588" ht="15" customHeight="1">
      <c r="A588" s="27"/>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9"/>
    </row>
    <row r="589" ht="15" customHeight="1">
      <c r="A589" s="27"/>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9"/>
    </row>
    <row r="590" ht="15" customHeight="1">
      <c r="A590" s="27"/>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9"/>
    </row>
    <row r="591" ht="15" customHeight="1">
      <c r="A591" s="27"/>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9"/>
    </row>
    <row r="592" ht="15" customHeight="1">
      <c r="A592" s="27"/>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9"/>
    </row>
    <row r="593" ht="15" customHeight="1">
      <c r="A593" s="27"/>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9"/>
    </row>
    <row r="594" ht="15" customHeight="1">
      <c r="A594" s="27"/>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9"/>
    </row>
    <row r="595" ht="15" customHeight="1">
      <c r="A595" s="27"/>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9"/>
    </row>
    <row r="596" ht="15" customHeight="1">
      <c r="A596" s="27"/>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9"/>
    </row>
    <row r="597" ht="15" customHeight="1">
      <c r="A597" s="27"/>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9"/>
    </row>
    <row r="598" ht="15" customHeight="1">
      <c r="A598" s="27"/>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9"/>
    </row>
    <row r="599" ht="15" customHeight="1">
      <c r="A599" s="27"/>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9"/>
    </row>
    <row r="600" ht="15" customHeight="1">
      <c r="A600" s="27"/>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9"/>
    </row>
    <row r="601" ht="15" customHeight="1">
      <c r="A601" s="27"/>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9"/>
    </row>
    <row r="602" ht="15" customHeight="1">
      <c r="A602" s="27"/>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9"/>
    </row>
    <row r="603" ht="15" customHeight="1">
      <c r="A603" s="27"/>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9"/>
    </row>
    <row r="604" ht="15" customHeight="1">
      <c r="A604" s="27"/>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9"/>
    </row>
    <row r="605" ht="15" customHeight="1">
      <c r="A605" s="27"/>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9"/>
    </row>
    <row r="606" ht="15" customHeight="1">
      <c r="A606" s="27"/>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9"/>
    </row>
    <row r="607" ht="15" customHeight="1">
      <c r="A607" s="27"/>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9"/>
    </row>
    <row r="608" ht="15" customHeight="1">
      <c r="A608" s="27"/>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9"/>
    </row>
    <row r="609" ht="15" customHeight="1">
      <c r="A609" s="27"/>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9"/>
    </row>
    <row r="610" ht="15" customHeight="1">
      <c r="A610" s="27"/>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9"/>
    </row>
    <row r="611" ht="15" customHeight="1">
      <c r="A611" s="27"/>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9"/>
    </row>
    <row r="612" ht="15" customHeight="1">
      <c r="A612" s="27"/>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9"/>
    </row>
    <row r="613" ht="15" customHeight="1">
      <c r="A613" s="27"/>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9"/>
    </row>
    <row r="614" ht="15" customHeight="1">
      <c r="A614" s="27"/>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9"/>
    </row>
    <row r="615" ht="15" customHeight="1">
      <c r="A615" s="27"/>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9"/>
    </row>
    <row r="616" ht="15" customHeight="1">
      <c r="A616" s="27"/>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9"/>
    </row>
    <row r="617" ht="15" customHeight="1">
      <c r="A617" s="27"/>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9"/>
    </row>
    <row r="618" ht="15" customHeight="1">
      <c r="A618" s="27"/>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9"/>
    </row>
    <row r="619" ht="15" customHeight="1">
      <c r="A619" s="27"/>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9"/>
    </row>
    <row r="620" ht="15" customHeight="1">
      <c r="A620" s="27"/>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9"/>
    </row>
    <row r="621" ht="15" customHeight="1">
      <c r="A621" s="27"/>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9"/>
    </row>
    <row r="622" ht="15" customHeight="1">
      <c r="A622" s="27"/>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9"/>
    </row>
    <row r="623" ht="15" customHeight="1">
      <c r="A623" s="27"/>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9"/>
    </row>
    <row r="624" ht="15" customHeight="1">
      <c r="A624" s="27"/>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9"/>
    </row>
    <row r="625" ht="15" customHeight="1">
      <c r="A625" s="27"/>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9"/>
    </row>
    <row r="626" ht="15" customHeight="1">
      <c r="A626" s="27"/>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9"/>
    </row>
    <row r="627" ht="15" customHeight="1">
      <c r="A627" s="27"/>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9"/>
    </row>
    <row r="628" ht="15" customHeight="1">
      <c r="A628" s="27"/>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9"/>
    </row>
    <row r="629" ht="15" customHeight="1">
      <c r="A629" s="27"/>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9"/>
    </row>
    <row r="630" ht="15" customHeight="1">
      <c r="A630" s="27"/>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9"/>
    </row>
    <row r="631" ht="15" customHeight="1">
      <c r="A631" s="27"/>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9"/>
    </row>
    <row r="632" ht="15" customHeight="1">
      <c r="A632" s="27"/>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9"/>
    </row>
    <row r="633" ht="15" customHeight="1">
      <c r="A633" s="27"/>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9"/>
    </row>
    <row r="634" ht="15" customHeight="1">
      <c r="A634" s="27"/>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9"/>
    </row>
    <row r="635" ht="15" customHeight="1">
      <c r="A635" s="27"/>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9"/>
    </row>
    <row r="636" ht="15" customHeight="1">
      <c r="A636" s="27"/>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9"/>
    </row>
    <row r="637" ht="15" customHeight="1">
      <c r="A637" s="27"/>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9"/>
    </row>
    <row r="638" ht="15" customHeight="1">
      <c r="A638" s="27"/>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9"/>
    </row>
    <row r="639" ht="15" customHeight="1">
      <c r="A639" s="27"/>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9"/>
    </row>
    <row r="640" ht="15" customHeight="1">
      <c r="A640" s="27"/>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9"/>
    </row>
    <row r="641" ht="15" customHeight="1">
      <c r="A641" s="27"/>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9"/>
    </row>
    <row r="642" ht="15" customHeight="1">
      <c r="A642" s="27"/>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9"/>
    </row>
    <row r="643" ht="15" customHeight="1">
      <c r="A643" s="27"/>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9"/>
    </row>
    <row r="644" ht="15" customHeight="1">
      <c r="A644" s="27"/>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9"/>
    </row>
    <row r="645" ht="15" customHeight="1">
      <c r="A645" s="27"/>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9"/>
    </row>
    <row r="646" ht="15" customHeight="1">
      <c r="A646" s="27"/>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9"/>
    </row>
    <row r="647" ht="15" customHeight="1">
      <c r="A647" s="27"/>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9"/>
    </row>
    <row r="648" ht="15" customHeight="1">
      <c r="A648" s="27"/>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9"/>
    </row>
    <row r="649" ht="15" customHeight="1">
      <c r="A649" s="27"/>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9"/>
    </row>
    <row r="650" ht="15" customHeight="1">
      <c r="A650" s="27"/>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9"/>
    </row>
    <row r="651" ht="15" customHeight="1">
      <c r="A651" s="27"/>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9"/>
    </row>
    <row r="652" ht="15" customHeight="1">
      <c r="A652" s="27"/>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9"/>
    </row>
    <row r="653" ht="15" customHeight="1">
      <c r="A653" s="27"/>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9"/>
    </row>
    <row r="654" ht="15" customHeight="1">
      <c r="A654" s="27"/>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9"/>
    </row>
    <row r="655" ht="15" customHeight="1">
      <c r="A655" s="27"/>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9"/>
    </row>
    <row r="656" ht="15" customHeight="1">
      <c r="A656" s="27"/>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9"/>
    </row>
    <row r="657" ht="15" customHeight="1">
      <c r="A657" s="27"/>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9"/>
    </row>
    <row r="658" ht="15" customHeight="1">
      <c r="A658" s="27"/>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9"/>
    </row>
    <row r="659" ht="15" customHeight="1">
      <c r="A659" s="27"/>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9"/>
    </row>
    <row r="660" ht="15" customHeight="1">
      <c r="A660" s="27"/>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9"/>
    </row>
    <row r="661" ht="15" customHeight="1">
      <c r="A661" s="27"/>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9"/>
    </row>
    <row r="662" ht="15" customHeight="1">
      <c r="A662" s="27"/>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9"/>
    </row>
    <row r="663" ht="15" customHeight="1">
      <c r="A663" s="27"/>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9"/>
    </row>
    <row r="664" ht="15" customHeight="1">
      <c r="A664" s="27"/>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9"/>
    </row>
    <row r="665" ht="15" customHeight="1">
      <c r="A665" s="27"/>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9"/>
    </row>
    <row r="666" ht="15" customHeight="1">
      <c r="A666" s="27"/>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9"/>
    </row>
    <row r="667" ht="15" customHeight="1">
      <c r="A667" s="27"/>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9"/>
    </row>
    <row r="668" ht="15" customHeight="1">
      <c r="A668" s="27"/>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9"/>
    </row>
    <row r="669" ht="15" customHeight="1">
      <c r="A669" s="27"/>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9"/>
    </row>
    <row r="670" ht="15" customHeight="1">
      <c r="A670" s="27"/>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9"/>
    </row>
    <row r="671" ht="15" customHeight="1">
      <c r="A671" s="27"/>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9"/>
    </row>
    <row r="672" ht="15" customHeight="1">
      <c r="A672" s="27"/>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9"/>
    </row>
    <row r="673" ht="15" customHeight="1">
      <c r="A673" s="27"/>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9"/>
    </row>
    <row r="674" ht="15" customHeight="1">
      <c r="A674" s="27"/>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9"/>
    </row>
    <row r="675" ht="15" customHeight="1">
      <c r="A675" s="27"/>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9"/>
    </row>
    <row r="676" ht="15" customHeight="1">
      <c r="A676" s="27"/>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9"/>
    </row>
    <row r="677" ht="15" customHeight="1">
      <c r="A677" s="27"/>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9"/>
    </row>
    <row r="678" ht="15" customHeight="1">
      <c r="A678" s="27"/>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9"/>
    </row>
    <row r="679" ht="15" customHeight="1">
      <c r="A679" s="27"/>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9"/>
    </row>
    <row r="680" ht="15" customHeight="1">
      <c r="A680" s="27"/>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9"/>
    </row>
    <row r="681" ht="15" customHeight="1">
      <c r="A681" s="27"/>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9"/>
    </row>
    <row r="682" ht="15" customHeight="1">
      <c r="A682" s="27"/>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9"/>
    </row>
    <row r="683" ht="15" customHeight="1">
      <c r="A683" s="27"/>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9"/>
    </row>
    <row r="684" ht="15" customHeight="1">
      <c r="A684" s="27"/>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9"/>
    </row>
    <row r="685" ht="15" customHeight="1">
      <c r="A685" s="27"/>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9"/>
    </row>
    <row r="686" ht="15" customHeight="1">
      <c r="A686" s="27"/>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9"/>
    </row>
    <row r="687" ht="15" customHeight="1">
      <c r="A687" s="27"/>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9"/>
    </row>
    <row r="688" ht="15" customHeight="1">
      <c r="A688" s="27"/>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9"/>
    </row>
    <row r="689" ht="15" customHeight="1">
      <c r="A689" s="27"/>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9"/>
    </row>
    <row r="690" ht="15" customHeight="1">
      <c r="A690" s="27"/>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9"/>
    </row>
    <row r="691" ht="15" customHeight="1">
      <c r="A691" s="27"/>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9"/>
    </row>
    <row r="692" ht="15" customHeight="1">
      <c r="A692" s="27"/>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9"/>
    </row>
    <row r="693" ht="15" customHeight="1">
      <c r="A693" s="27"/>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9"/>
    </row>
    <row r="694" ht="15" customHeight="1">
      <c r="A694" s="27"/>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9"/>
    </row>
    <row r="695" ht="15" customHeight="1">
      <c r="A695" s="27"/>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9"/>
    </row>
    <row r="696" ht="15" customHeight="1">
      <c r="A696" s="27"/>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9"/>
    </row>
    <row r="697" ht="15" customHeight="1">
      <c r="A697" s="27"/>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9"/>
    </row>
    <row r="698" ht="15" customHeight="1">
      <c r="A698" s="27"/>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9"/>
    </row>
    <row r="699" ht="15" customHeight="1">
      <c r="A699" s="27"/>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9"/>
    </row>
    <row r="700" ht="15" customHeight="1">
      <c r="A700" s="27"/>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9"/>
    </row>
    <row r="701" ht="15" customHeight="1">
      <c r="A701" s="27"/>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9"/>
    </row>
    <row r="702" ht="15" customHeight="1">
      <c r="A702" s="27"/>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9"/>
    </row>
    <row r="703" ht="15" customHeight="1">
      <c r="A703" s="27"/>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9"/>
    </row>
    <row r="704" ht="15" customHeight="1">
      <c r="A704" s="27"/>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9"/>
    </row>
    <row r="705" ht="15" customHeight="1">
      <c r="A705" s="27"/>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9"/>
    </row>
    <row r="706" ht="15" customHeight="1">
      <c r="A706" s="27"/>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9"/>
    </row>
    <row r="707" ht="15" customHeight="1">
      <c r="A707" s="27"/>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9"/>
    </row>
    <row r="708" ht="15" customHeight="1">
      <c r="A708" s="27"/>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9"/>
    </row>
    <row r="709" ht="15" customHeight="1">
      <c r="A709" s="27"/>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9"/>
    </row>
    <row r="710" ht="15" customHeight="1">
      <c r="A710" s="27"/>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9"/>
    </row>
    <row r="711" ht="15" customHeight="1">
      <c r="A711" s="27"/>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9"/>
    </row>
    <row r="712" ht="15" customHeight="1">
      <c r="A712" s="27"/>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9"/>
    </row>
    <row r="713" ht="15" customHeight="1">
      <c r="A713" s="27"/>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9"/>
    </row>
    <row r="714" ht="15" customHeight="1">
      <c r="A714" s="27"/>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9"/>
    </row>
    <row r="715" ht="15" customHeight="1">
      <c r="A715" s="27"/>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9"/>
    </row>
    <row r="716" ht="15" customHeight="1">
      <c r="A716" s="27"/>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9"/>
    </row>
    <row r="717" ht="15" customHeight="1">
      <c r="A717" s="27"/>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9"/>
    </row>
    <row r="718" ht="15" customHeight="1">
      <c r="A718" s="27"/>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9"/>
    </row>
    <row r="719" ht="15" customHeight="1">
      <c r="A719" s="27"/>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9"/>
    </row>
    <row r="720" ht="15" customHeight="1">
      <c r="A720" s="27"/>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9"/>
    </row>
    <row r="721" ht="15" customHeight="1">
      <c r="A721" s="27"/>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9"/>
    </row>
    <row r="722" ht="15" customHeight="1">
      <c r="A722" s="27"/>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9"/>
    </row>
    <row r="723" ht="15" customHeight="1">
      <c r="A723" s="27"/>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9"/>
    </row>
    <row r="724" ht="15" customHeight="1">
      <c r="A724" s="27"/>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9"/>
    </row>
    <row r="725" ht="15" customHeight="1">
      <c r="A725" s="27"/>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9"/>
    </row>
    <row r="726" ht="15" customHeight="1">
      <c r="A726" s="27"/>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9"/>
    </row>
    <row r="727" ht="15" customHeight="1">
      <c r="A727" s="27"/>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9"/>
    </row>
    <row r="728" ht="15" customHeight="1">
      <c r="A728" s="27"/>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9"/>
    </row>
    <row r="729" ht="15" customHeight="1">
      <c r="A729" s="27"/>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9"/>
    </row>
    <row r="730" ht="15" customHeight="1">
      <c r="A730" s="27"/>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9"/>
    </row>
    <row r="731" ht="15" customHeight="1">
      <c r="A731" s="27"/>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9"/>
    </row>
    <row r="732" ht="15" customHeight="1">
      <c r="A732" s="27"/>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9"/>
    </row>
    <row r="733" ht="15" customHeight="1">
      <c r="A733" s="27"/>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9"/>
    </row>
    <row r="734" ht="15" customHeight="1">
      <c r="A734" s="27"/>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9"/>
    </row>
    <row r="735" ht="15" customHeight="1">
      <c r="A735" s="27"/>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9"/>
    </row>
    <row r="736" ht="15" customHeight="1">
      <c r="A736" s="27"/>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9"/>
    </row>
    <row r="737" ht="15" customHeight="1">
      <c r="A737" s="27"/>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9"/>
    </row>
    <row r="738" ht="15" customHeight="1">
      <c r="A738" s="27"/>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9"/>
    </row>
    <row r="739" ht="15" customHeight="1">
      <c r="A739" s="27"/>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9"/>
    </row>
    <row r="740" ht="15" customHeight="1">
      <c r="A740" s="27"/>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9"/>
    </row>
    <row r="741" ht="15" customHeight="1">
      <c r="A741" s="27"/>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9"/>
    </row>
    <row r="742" ht="15" customHeight="1">
      <c r="A742" s="27"/>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9"/>
    </row>
    <row r="743" ht="15" customHeight="1">
      <c r="A743" s="27"/>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9"/>
    </row>
    <row r="744" ht="15" customHeight="1">
      <c r="A744" s="27"/>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9"/>
    </row>
    <row r="745" ht="15" customHeight="1">
      <c r="A745" s="27"/>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9"/>
    </row>
    <row r="746" ht="15" customHeight="1">
      <c r="A746" s="27"/>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9"/>
    </row>
    <row r="747" ht="15" customHeight="1">
      <c r="A747" s="27"/>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9"/>
    </row>
    <row r="748" ht="15" customHeight="1">
      <c r="A748" s="27"/>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9"/>
    </row>
    <row r="749" ht="15" customHeight="1">
      <c r="A749" s="27"/>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9"/>
    </row>
    <row r="750" ht="15" customHeight="1">
      <c r="A750" s="27"/>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9"/>
    </row>
    <row r="751" ht="15" customHeight="1">
      <c r="A751" s="27"/>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9"/>
    </row>
    <row r="752" ht="15" customHeight="1">
      <c r="A752" s="27"/>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9"/>
    </row>
    <row r="753" ht="15" customHeight="1">
      <c r="A753" s="27"/>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9"/>
    </row>
    <row r="754" ht="15" customHeight="1">
      <c r="A754" s="27"/>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9"/>
    </row>
    <row r="755" ht="15" customHeight="1">
      <c r="A755" s="27"/>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9"/>
    </row>
    <row r="756" ht="15" customHeight="1">
      <c r="A756" s="27"/>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9"/>
    </row>
    <row r="757" ht="15" customHeight="1">
      <c r="A757" s="27"/>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9"/>
    </row>
    <row r="758" ht="15" customHeight="1">
      <c r="A758" s="27"/>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9"/>
    </row>
    <row r="759" ht="15" customHeight="1">
      <c r="A759" s="27"/>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9"/>
    </row>
    <row r="760" ht="15" customHeight="1">
      <c r="A760" s="27"/>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9"/>
    </row>
    <row r="761" ht="15" customHeight="1">
      <c r="A761" s="27"/>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9"/>
    </row>
    <row r="762" ht="15" customHeight="1">
      <c r="A762" s="27"/>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9"/>
    </row>
    <row r="763" ht="15" customHeight="1">
      <c r="A763" s="27"/>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9"/>
    </row>
    <row r="764" ht="15" customHeight="1">
      <c r="A764" s="27"/>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9"/>
    </row>
    <row r="765" ht="15" customHeight="1">
      <c r="A765" s="27"/>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9"/>
    </row>
    <row r="766" ht="15" customHeight="1">
      <c r="A766" s="27"/>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9"/>
    </row>
    <row r="767" ht="15" customHeight="1">
      <c r="A767" s="27"/>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9"/>
    </row>
    <row r="768" ht="15" customHeight="1">
      <c r="A768" s="27"/>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9"/>
    </row>
    <row r="769" ht="15" customHeight="1">
      <c r="A769" s="27"/>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9"/>
    </row>
    <row r="770" ht="15" customHeight="1">
      <c r="A770" s="27"/>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9"/>
    </row>
    <row r="771" ht="15" customHeight="1">
      <c r="A771" s="27"/>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9"/>
    </row>
    <row r="772" ht="15" customHeight="1">
      <c r="A772" s="27"/>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9"/>
    </row>
    <row r="773" ht="15" customHeight="1">
      <c r="A773" s="27"/>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9"/>
    </row>
    <row r="774" ht="15" customHeight="1">
      <c r="A774" s="27"/>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9"/>
    </row>
    <row r="775" ht="15" customHeight="1">
      <c r="A775" s="27"/>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9"/>
    </row>
    <row r="776" ht="15" customHeight="1">
      <c r="A776" s="27"/>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9"/>
    </row>
    <row r="777" ht="15" customHeight="1">
      <c r="A777" s="27"/>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9"/>
    </row>
    <row r="778" ht="15" customHeight="1">
      <c r="A778" s="27"/>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9"/>
    </row>
    <row r="779" ht="15" customHeight="1">
      <c r="A779" s="27"/>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9"/>
    </row>
    <row r="780" ht="15" customHeight="1">
      <c r="A780" s="27"/>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9"/>
    </row>
    <row r="781" ht="15" customHeight="1">
      <c r="A781" s="27"/>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9"/>
    </row>
    <row r="782" ht="15" customHeight="1">
      <c r="A782" s="27"/>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9"/>
    </row>
    <row r="783" ht="15" customHeight="1">
      <c r="A783" s="27"/>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9"/>
    </row>
    <row r="784" ht="15" customHeight="1">
      <c r="A784" s="27"/>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9"/>
    </row>
    <row r="785" ht="15" customHeight="1">
      <c r="A785" s="27"/>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9"/>
    </row>
    <row r="786" ht="15" customHeight="1">
      <c r="A786" s="27"/>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9"/>
    </row>
    <row r="787" ht="15" customHeight="1">
      <c r="A787" s="27"/>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9"/>
    </row>
    <row r="788" ht="15" customHeight="1">
      <c r="A788" s="27"/>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9"/>
    </row>
    <row r="789" ht="15" customHeight="1">
      <c r="A789" s="27"/>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9"/>
    </row>
    <row r="790" ht="15" customHeight="1">
      <c r="A790" s="27"/>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9"/>
    </row>
    <row r="791" ht="15" customHeight="1">
      <c r="A791" s="27"/>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9"/>
    </row>
    <row r="792" ht="15" customHeight="1">
      <c r="A792" s="27"/>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9"/>
    </row>
    <row r="793" ht="15" customHeight="1">
      <c r="A793" s="27"/>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9"/>
    </row>
    <row r="794" ht="15" customHeight="1">
      <c r="A794" s="27"/>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9"/>
    </row>
    <row r="795" ht="15" customHeight="1">
      <c r="A795" s="27"/>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9"/>
    </row>
    <row r="796" ht="15" customHeight="1">
      <c r="A796" s="27"/>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9"/>
    </row>
    <row r="797" ht="15" customHeight="1">
      <c r="A797" s="27"/>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9"/>
    </row>
    <row r="798" ht="15" customHeight="1">
      <c r="A798" s="27"/>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9"/>
    </row>
    <row r="799" ht="15" customHeight="1">
      <c r="A799" s="27"/>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9"/>
    </row>
    <row r="800" ht="15" customHeight="1">
      <c r="A800" s="27"/>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9"/>
    </row>
    <row r="801" ht="15" customHeight="1">
      <c r="A801" s="27"/>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9"/>
    </row>
    <row r="802" ht="15" customHeight="1">
      <c r="A802" s="27"/>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9"/>
    </row>
    <row r="803" ht="15" customHeight="1">
      <c r="A803" s="27"/>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9"/>
    </row>
    <row r="804" ht="15" customHeight="1">
      <c r="A804" s="27"/>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9"/>
    </row>
    <row r="805" ht="15" customHeight="1">
      <c r="A805" s="27"/>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9"/>
    </row>
    <row r="806" ht="15" customHeight="1">
      <c r="A806" s="27"/>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9"/>
    </row>
    <row r="807" ht="15" customHeight="1">
      <c r="A807" s="27"/>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9"/>
    </row>
    <row r="808" ht="15" customHeight="1">
      <c r="A808" s="27"/>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9"/>
    </row>
    <row r="809" ht="15" customHeight="1">
      <c r="A809" s="27"/>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9"/>
    </row>
    <row r="810" ht="15" customHeight="1">
      <c r="A810" s="27"/>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9"/>
    </row>
    <row r="811" ht="15" customHeight="1">
      <c r="A811" s="27"/>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9"/>
    </row>
    <row r="812" ht="15" customHeight="1">
      <c r="A812" s="27"/>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9"/>
    </row>
    <row r="813" ht="15" customHeight="1">
      <c r="A813" s="27"/>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9"/>
    </row>
    <row r="814" ht="15" customHeight="1">
      <c r="A814" s="27"/>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9"/>
    </row>
    <row r="815" ht="15" customHeight="1">
      <c r="A815" s="27"/>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9"/>
    </row>
    <row r="816" ht="15" customHeight="1">
      <c r="A816" s="27"/>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9"/>
    </row>
    <row r="817" ht="15" customHeight="1">
      <c r="A817" s="27"/>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9"/>
    </row>
    <row r="818" ht="15" customHeight="1">
      <c r="A818" s="27"/>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9"/>
    </row>
    <row r="819" ht="15" customHeight="1">
      <c r="A819" s="27"/>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9"/>
    </row>
    <row r="820" ht="15" customHeight="1">
      <c r="A820" s="27"/>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9"/>
    </row>
    <row r="821" ht="15" customHeight="1">
      <c r="A821" s="27"/>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9"/>
    </row>
    <row r="822" ht="15" customHeight="1">
      <c r="A822" s="27"/>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9"/>
    </row>
    <row r="823" ht="15" customHeight="1">
      <c r="A823" s="27"/>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9"/>
    </row>
    <row r="824" ht="15" customHeight="1">
      <c r="A824" s="27"/>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9"/>
    </row>
    <row r="825" ht="15" customHeight="1">
      <c r="A825" s="27"/>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9"/>
    </row>
    <row r="826" ht="15" customHeight="1">
      <c r="A826" s="27"/>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9"/>
    </row>
    <row r="827" ht="15" customHeight="1">
      <c r="A827" s="27"/>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9"/>
    </row>
    <row r="828" ht="15" customHeight="1">
      <c r="A828" s="27"/>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9"/>
    </row>
    <row r="829" ht="15" customHeight="1">
      <c r="A829" s="27"/>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9"/>
    </row>
    <row r="830" ht="15" customHeight="1">
      <c r="A830" s="27"/>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9"/>
    </row>
    <row r="831" ht="15" customHeight="1">
      <c r="A831" s="27"/>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9"/>
    </row>
    <row r="832" ht="15" customHeight="1">
      <c r="A832" s="27"/>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9"/>
    </row>
    <row r="833" ht="15" customHeight="1">
      <c r="A833" s="27"/>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9"/>
    </row>
    <row r="834" ht="15" customHeight="1">
      <c r="A834" s="27"/>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9"/>
    </row>
    <row r="835" ht="15" customHeight="1">
      <c r="A835" s="27"/>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9"/>
    </row>
    <row r="836" ht="15" customHeight="1">
      <c r="A836" s="27"/>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9"/>
    </row>
    <row r="837" ht="15" customHeight="1">
      <c r="A837" s="27"/>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9"/>
    </row>
    <row r="838" ht="15" customHeight="1">
      <c r="A838" s="27"/>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9"/>
    </row>
    <row r="839" ht="15" customHeight="1">
      <c r="A839" s="27"/>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9"/>
    </row>
    <row r="840" ht="15" customHeight="1">
      <c r="A840" s="27"/>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9"/>
    </row>
    <row r="841" ht="15" customHeight="1">
      <c r="A841" s="27"/>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9"/>
    </row>
    <row r="842" ht="15" customHeight="1">
      <c r="A842" s="27"/>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9"/>
    </row>
    <row r="843" ht="15" customHeight="1">
      <c r="A843" s="27"/>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9"/>
    </row>
    <row r="844" ht="15" customHeight="1">
      <c r="A844" s="27"/>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9"/>
    </row>
    <row r="845" ht="15" customHeight="1">
      <c r="A845" s="27"/>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9"/>
    </row>
    <row r="846" ht="15" customHeight="1">
      <c r="A846" s="27"/>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9"/>
    </row>
    <row r="847" ht="15" customHeight="1">
      <c r="A847" s="27"/>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9"/>
    </row>
    <row r="848" ht="15" customHeight="1">
      <c r="A848" s="27"/>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9"/>
    </row>
    <row r="849" ht="15" customHeight="1">
      <c r="A849" s="27"/>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9"/>
    </row>
    <row r="850" ht="15" customHeight="1">
      <c r="A850" s="27"/>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9"/>
    </row>
    <row r="851" ht="15" customHeight="1">
      <c r="A851" s="27"/>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9"/>
    </row>
    <row r="852" ht="15" customHeight="1">
      <c r="A852" s="27"/>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9"/>
    </row>
    <row r="853" ht="15" customHeight="1">
      <c r="A853" s="27"/>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9"/>
    </row>
    <row r="854" ht="15" customHeight="1">
      <c r="A854" s="27"/>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9"/>
    </row>
    <row r="855" ht="15" customHeight="1">
      <c r="A855" s="27"/>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9"/>
    </row>
    <row r="856" ht="15" customHeight="1">
      <c r="A856" s="27"/>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9"/>
    </row>
    <row r="857" ht="15" customHeight="1">
      <c r="A857" s="27"/>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9"/>
    </row>
    <row r="858" ht="15" customHeight="1">
      <c r="A858" s="27"/>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9"/>
    </row>
    <row r="859" ht="15" customHeight="1">
      <c r="A859" s="27"/>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9"/>
    </row>
    <row r="860" ht="15" customHeight="1">
      <c r="A860" s="27"/>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9"/>
    </row>
    <row r="861" ht="15" customHeight="1">
      <c r="A861" s="27"/>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9"/>
    </row>
    <row r="862" ht="15" customHeight="1">
      <c r="A862" s="27"/>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9"/>
    </row>
    <row r="863" ht="15" customHeight="1">
      <c r="A863" s="27"/>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9"/>
    </row>
    <row r="864" ht="15" customHeight="1">
      <c r="A864" s="27"/>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9"/>
    </row>
    <row r="865" ht="15" customHeight="1">
      <c r="A865" s="27"/>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9"/>
    </row>
    <row r="866" ht="15" customHeight="1">
      <c r="A866" s="27"/>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9"/>
    </row>
    <row r="867" ht="15" customHeight="1">
      <c r="A867" s="27"/>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9"/>
    </row>
    <row r="868" ht="15" customHeight="1">
      <c r="A868" s="27"/>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9"/>
    </row>
    <row r="869" ht="15" customHeight="1">
      <c r="A869" s="27"/>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9"/>
    </row>
    <row r="870" ht="15" customHeight="1">
      <c r="A870" s="27"/>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9"/>
    </row>
    <row r="871" ht="15" customHeight="1">
      <c r="A871" s="27"/>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9"/>
    </row>
    <row r="872" ht="15" customHeight="1">
      <c r="A872" s="27"/>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9"/>
    </row>
    <row r="873" ht="15" customHeight="1">
      <c r="A873" s="27"/>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9"/>
    </row>
    <row r="874" ht="15" customHeight="1">
      <c r="A874" s="27"/>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9"/>
    </row>
    <row r="875" ht="15" customHeight="1">
      <c r="A875" s="27"/>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9"/>
    </row>
    <row r="876" ht="15" customHeight="1">
      <c r="A876" s="27"/>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9"/>
    </row>
    <row r="877" ht="15" customHeight="1">
      <c r="A877" s="27"/>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9"/>
    </row>
    <row r="878" ht="15" customHeight="1">
      <c r="A878" s="27"/>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9"/>
    </row>
    <row r="879" ht="15" customHeight="1">
      <c r="A879" s="27"/>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9"/>
    </row>
    <row r="880" ht="15" customHeight="1">
      <c r="A880" s="27"/>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9"/>
    </row>
    <row r="881" ht="15" customHeight="1">
      <c r="A881" s="27"/>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9"/>
    </row>
    <row r="882" ht="15" customHeight="1">
      <c r="A882" s="27"/>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9"/>
    </row>
    <row r="883" ht="15" customHeight="1">
      <c r="A883" s="27"/>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9"/>
    </row>
    <row r="884" ht="15" customHeight="1">
      <c r="A884" s="27"/>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9"/>
    </row>
    <row r="885" ht="15" customHeight="1">
      <c r="A885" s="27"/>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9"/>
    </row>
    <row r="886" ht="15" customHeight="1">
      <c r="A886" s="27"/>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9"/>
    </row>
    <row r="887" ht="15" customHeight="1">
      <c r="A887" s="27"/>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9"/>
    </row>
    <row r="888" ht="15" customHeight="1">
      <c r="A888" s="27"/>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9"/>
    </row>
    <row r="889" ht="15" customHeight="1">
      <c r="A889" s="27"/>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9"/>
    </row>
    <row r="890" ht="15" customHeight="1">
      <c r="A890" s="27"/>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9"/>
    </row>
    <row r="891" ht="15" customHeight="1">
      <c r="A891" s="27"/>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9"/>
    </row>
    <row r="892" ht="15" customHeight="1">
      <c r="A892" s="27"/>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9"/>
    </row>
    <row r="893" ht="15" customHeight="1">
      <c r="A893" s="27"/>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9"/>
    </row>
    <row r="894" ht="15" customHeight="1">
      <c r="A894" s="27"/>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9"/>
    </row>
    <row r="895" ht="15" customHeight="1">
      <c r="A895" s="27"/>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9"/>
    </row>
    <row r="896" ht="15" customHeight="1">
      <c r="A896" s="27"/>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9"/>
    </row>
    <row r="897" ht="15" customHeight="1">
      <c r="A897" s="27"/>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9"/>
    </row>
    <row r="898" ht="15" customHeight="1">
      <c r="A898" s="27"/>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9"/>
    </row>
    <row r="899" ht="15" customHeight="1">
      <c r="A899" s="27"/>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9"/>
    </row>
    <row r="900" ht="15" customHeight="1">
      <c r="A900" s="27"/>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9"/>
    </row>
    <row r="901" ht="15" customHeight="1">
      <c r="A901" s="27"/>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9"/>
    </row>
    <row r="902" ht="15" customHeight="1">
      <c r="A902" s="27"/>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9"/>
    </row>
    <row r="903" ht="15" customHeight="1">
      <c r="A903" s="27"/>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9"/>
    </row>
    <row r="904" ht="15" customHeight="1">
      <c r="A904" s="27"/>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9"/>
    </row>
    <row r="905" ht="15" customHeight="1">
      <c r="A905" s="27"/>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9"/>
    </row>
    <row r="906" ht="15" customHeight="1">
      <c r="A906" s="27"/>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9"/>
    </row>
    <row r="907" ht="15" customHeight="1">
      <c r="A907" s="27"/>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9"/>
    </row>
    <row r="908" ht="15" customHeight="1">
      <c r="A908" s="27"/>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9"/>
    </row>
    <row r="909" ht="15" customHeight="1">
      <c r="A909" s="27"/>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9"/>
    </row>
    <row r="910" ht="15" customHeight="1">
      <c r="A910" s="27"/>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9"/>
    </row>
    <row r="911" ht="15" customHeight="1">
      <c r="A911" s="27"/>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9"/>
    </row>
    <row r="912" ht="15" customHeight="1">
      <c r="A912" s="27"/>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9"/>
    </row>
    <row r="913" ht="15" customHeight="1">
      <c r="A913" s="27"/>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9"/>
    </row>
    <row r="914" ht="15" customHeight="1">
      <c r="A914" s="27"/>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9"/>
    </row>
    <row r="915" ht="15" customHeight="1">
      <c r="A915" s="27"/>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9"/>
    </row>
    <row r="916" ht="15" customHeight="1">
      <c r="A916" s="27"/>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9"/>
    </row>
    <row r="917" ht="15" customHeight="1">
      <c r="A917" s="27"/>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9"/>
    </row>
    <row r="918" ht="15" customHeight="1">
      <c r="A918" s="27"/>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9"/>
    </row>
    <row r="919" ht="15" customHeight="1">
      <c r="A919" s="27"/>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9"/>
    </row>
    <row r="920" ht="15" customHeight="1">
      <c r="A920" s="27"/>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9"/>
    </row>
    <row r="921" ht="15" customHeight="1">
      <c r="A921" s="27"/>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9"/>
    </row>
    <row r="922" ht="15" customHeight="1">
      <c r="A922" s="27"/>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9"/>
    </row>
    <row r="923" ht="15" customHeight="1">
      <c r="A923" s="27"/>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9"/>
    </row>
    <row r="924" ht="15" customHeight="1">
      <c r="A924" s="27"/>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9"/>
    </row>
    <row r="925" ht="15" customHeight="1">
      <c r="A925" s="27"/>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9"/>
    </row>
    <row r="926" ht="15" customHeight="1">
      <c r="A926" s="27"/>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9"/>
    </row>
    <row r="927" ht="15" customHeight="1">
      <c r="A927" s="27"/>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9"/>
    </row>
    <row r="928" ht="15" customHeight="1">
      <c r="A928" s="27"/>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9"/>
    </row>
    <row r="929" ht="15" customHeight="1">
      <c r="A929" s="27"/>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9"/>
    </row>
    <row r="930" ht="15" customHeight="1">
      <c r="A930" s="27"/>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9"/>
    </row>
    <row r="931" ht="15" customHeight="1">
      <c r="A931" s="27"/>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9"/>
    </row>
    <row r="932" ht="15" customHeight="1">
      <c r="A932" s="27"/>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9"/>
    </row>
    <row r="933" ht="15" customHeight="1">
      <c r="A933" s="27"/>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9"/>
    </row>
    <row r="934" ht="15" customHeight="1">
      <c r="A934" s="27"/>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9"/>
    </row>
    <row r="935" ht="15" customHeight="1">
      <c r="A935" s="27"/>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9"/>
    </row>
    <row r="936" ht="15" customHeight="1">
      <c r="A936" s="27"/>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9"/>
    </row>
    <row r="937" ht="15" customHeight="1">
      <c r="A937" s="27"/>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9"/>
    </row>
    <row r="938" ht="15" customHeight="1">
      <c r="A938" s="27"/>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9"/>
    </row>
    <row r="939" ht="15" customHeight="1">
      <c r="A939" s="27"/>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9"/>
    </row>
    <row r="940" ht="15" customHeight="1">
      <c r="A940" s="27"/>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9"/>
    </row>
    <row r="941" ht="15" customHeight="1">
      <c r="A941" s="27"/>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9"/>
    </row>
    <row r="942" ht="15" customHeight="1">
      <c r="A942" s="27"/>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9"/>
    </row>
    <row r="943" ht="15" customHeight="1">
      <c r="A943" s="27"/>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9"/>
    </row>
    <row r="944" ht="15" customHeight="1">
      <c r="A944" s="27"/>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9"/>
    </row>
    <row r="945" ht="15" customHeight="1">
      <c r="A945" s="27"/>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9"/>
    </row>
    <row r="946" ht="15" customHeight="1">
      <c r="A946" s="27"/>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9"/>
    </row>
    <row r="947" ht="15" customHeight="1">
      <c r="A947" s="27"/>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9"/>
    </row>
    <row r="948" ht="15" customHeight="1">
      <c r="A948" s="27"/>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9"/>
    </row>
    <row r="949" ht="15" customHeight="1">
      <c r="A949" s="27"/>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9"/>
    </row>
    <row r="950" ht="15" customHeight="1">
      <c r="A950" s="27"/>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9"/>
    </row>
    <row r="951" ht="15" customHeight="1">
      <c r="A951" s="27"/>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9"/>
    </row>
    <row r="952" ht="15" customHeight="1">
      <c r="A952" s="27"/>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9"/>
    </row>
    <row r="953" ht="15" customHeight="1">
      <c r="A953" s="27"/>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9"/>
    </row>
    <row r="954" ht="15" customHeight="1">
      <c r="A954" s="27"/>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9"/>
    </row>
    <row r="955" ht="15" customHeight="1">
      <c r="A955" s="27"/>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9"/>
    </row>
    <row r="956" ht="15" customHeight="1">
      <c r="A956" s="27"/>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9"/>
    </row>
    <row r="957" ht="15" customHeight="1">
      <c r="A957" s="27"/>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9"/>
    </row>
    <row r="958" ht="15" customHeight="1">
      <c r="A958" s="27"/>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9"/>
    </row>
    <row r="959" ht="15" customHeight="1">
      <c r="A959" s="27"/>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9"/>
    </row>
    <row r="960" ht="15" customHeight="1">
      <c r="A960" s="27"/>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9"/>
    </row>
    <row r="961" ht="15" customHeight="1">
      <c r="A961" s="27"/>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9"/>
    </row>
    <row r="962" ht="15" customHeight="1">
      <c r="A962" s="27"/>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9"/>
    </row>
    <row r="963" ht="15" customHeight="1">
      <c r="A963" s="27"/>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9"/>
    </row>
    <row r="964" ht="15" customHeight="1">
      <c r="A964" s="27"/>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9"/>
    </row>
    <row r="965" ht="15" customHeight="1">
      <c r="A965" s="27"/>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9"/>
    </row>
    <row r="966" ht="15" customHeight="1">
      <c r="A966" s="27"/>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9"/>
    </row>
    <row r="967" ht="15" customHeight="1">
      <c r="A967" s="27"/>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9"/>
    </row>
    <row r="968" ht="15" customHeight="1">
      <c r="A968" s="27"/>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9"/>
    </row>
    <row r="969" ht="15" customHeight="1">
      <c r="A969" s="27"/>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9"/>
    </row>
    <row r="970" ht="15" customHeight="1">
      <c r="A970" s="27"/>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9"/>
    </row>
    <row r="971" ht="15" customHeight="1">
      <c r="A971" s="27"/>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9"/>
    </row>
    <row r="972" ht="15" customHeight="1">
      <c r="A972" s="27"/>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9"/>
    </row>
    <row r="973" ht="15" customHeight="1">
      <c r="A973" s="27"/>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9"/>
    </row>
    <row r="974" ht="15" customHeight="1">
      <c r="A974" s="27"/>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9"/>
    </row>
    <row r="975" ht="15" customHeight="1">
      <c r="A975" s="27"/>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9"/>
    </row>
    <row r="976" ht="15" customHeight="1">
      <c r="A976" s="27"/>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9"/>
    </row>
    <row r="977" ht="15" customHeight="1">
      <c r="A977" s="27"/>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9"/>
    </row>
    <row r="978" ht="15" customHeight="1">
      <c r="A978" s="27"/>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9"/>
    </row>
    <row r="979" ht="15" customHeight="1">
      <c r="A979" s="27"/>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9"/>
    </row>
    <row r="980" ht="15" customHeight="1">
      <c r="A980" s="27"/>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9"/>
    </row>
    <row r="981" ht="15" customHeight="1">
      <c r="A981" s="27"/>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9"/>
    </row>
    <row r="982" ht="15" customHeight="1">
      <c r="A982" s="27"/>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9"/>
    </row>
    <row r="983" ht="15" customHeight="1">
      <c r="A983" s="27"/>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9"/>
    </row>
    <row r="984" ht="15" customHeight="1">
      <c r="A984" s="27"/>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9"/>
    </row>
    <row r="985" ht="15" customHeight="1">
      <c r="A985" s="27"/>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9"/>
    </row>
    <row r="986" ht="15" customHeight="1">
      <c r="A986" s="27"/>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9"/>
    </row>
    <row r="987" ht="15" customHeight="1">
      <c r="A987" s="27"/>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9"/>
    </row>
    <row r="988" ht="15" customHeight="1">
      <c r="A988" s="27"/>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9"/>
    </row>
    <row r="989" ht="15" customHeight="1">
      <c r="A989" s="27"/>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9"/>
    </row>
    <row r="990" ht="15" customHeight="1">
      <c r="A990" s="27"/>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9"/>
    </row>
    <row r="991" ht="15" customHeight="1">
      <c r="A991" s="27"/>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9"/>
    </row>
    <row r="992" ht="15" customHeight="1">
      <c r="A992" s="27"/>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9"/>
    </row>
    <row r="993" ht="15" customHeight="1">
      <c r="A993" s="27"/>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9"/>
    </row>
    <row r="994" ht="15" customHeight="1">
      <c r="A994" s="27"/>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9"/>
    </row>
    <row r="995" ht="15" customHeight="1">
      <c r="A995" s="27"/>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9"/>
    </row>
    <row r="996" ht="15" customHeight="1">
      <c r="A996" s="27"/>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9"/>
    </row>
    <row r="997" ht="15" customHeight="1">
      <c r="A997" s="27"/>
      <c r="B997" s="18"/>
      <c r="C997" s="18"/>
      <c r="D997" s="18"/>
      <c r="E997" s="18"/>
      <c r="F997" s="18"/>
      <c r="G997" s="18"/>
      <c r="H997" s="18"/>
      <c r="I997" s="18"/>
      <c r="J997" s="18"/>
      <c r="K997" s="18"/>
      <c r="L997" s="18"/>
      <c r="M997" s="18"/>
      <c r="N997" s="18"/>
      <c r="O997" s="18"/>
      <c r="P997" s="18"/>
      <c r="Q997" s="18"/>
      <c r="R997" s="31"/>
      <c r="S997" s="18"/>
      <c r="T997" s="18"/>
      <c r="U997" s="18"/>
      <c r="V997" s="18"/>
      <c r="W997" s="18"/>
      <c r="X997" s="18"/>
      <c r="Y997" s="19"/>
    </row>
    <row r="998" ht="15" customHeight="1">
      <c r="A998" s="27"/>
      <c r="B998" s="18"/>
      <c r="C998" s="18"/>
      <c r="D998" s="18"/>
      <c r="E998" s="18"/>
      <c r="F998" s="18"/>
      <c r="G998" s="18"/>
      <c r="H998" s="18"/>
      <c r="I998" s="18"/>
      <c r="J998" s="18"/>
      <c r="K998" s="18"/>
      <c r="L998" s="18"/>
      <c r="M998" s="18"/>
      <c r="N998" s="18"/>
      <c r="O998" s="18"/>
      <c r="P998" s="18"/>
      <c r="Q998" s="18"/>
      <c r="R998" s="31"/>
      <c r="S998" s="18"/>
      <c r="T998" s="18"/>
      <c r="U998" s="18"/>
      <c r="V998" s="18"/>
      <c r="W998" s="18"/>
      <c r="X998" s="18"/>
      <c r="Y998" s="19"/>
    </row>
    <row r="999" ht="15" customHeight="1">
      <c r="A999" s="27"/>
      <c r="B999" s="18"/>
      <c r="C999" s="18"/>
      <c r="D999" s="18"/>
      <c r="E999" s="18"/>
      <c r="F999" s="18"/>
      <c r="G999" s="18"/>
      <c r="H999" s="18"/>
      <c r="I999" s="18"/>
      <c r="J999" s="18"/>
      <c r="K999" s="18"/>
      <c r="L999" s="18"/>
      <c r="M999" s="18"/>
      <c r="N999" s="18"/>
      <c r="O999" s="18"/>
      <c r="P999" s="18"/>
      <c r="Q999" s="18"/>
      <c r="R999" s="31"/>
      <c r="S999" s="18"/>
      <c r="T999" s="18"/>
      <c r="U999" s="18"/>
      <c r="V999" s="18"/>
      <c r="W999" s="18"/>
      <c r="X999" s="18"/>
      <c r="Y999" s="19"/>
    </row>
    <row r="1000" ht="15" customHeight="1">
      <c r="A1000" s="27"/>
      <c r="B1000" s="18"/>
      <c r="C1000" s="18"/>
      <c r="D1000" s="18"/>
      <c r="E1000" s="18"/>
      <c r="F1000" s="18"/>
      <c r="G1000" s="18"/>
      <c r="H1000" s="18"/>
      <c r="I1000" s="18"/>
      <c r="J1000" s="18"/>
      <c r="K1000" s="18"/>
      <c r="L1000" s="18"/>
      <c r="M1000" s="18"/>
      <c r="N1000" s="18"/>
      <c r="O1000" s="18"/>
      <c r="P1000" s="18"/>
      <c r="Q1000" s="18"/>
      <c r="R1000" s="31"/>
      <c r="S1000" s="18"/>
      <c r="T1000" s="18"/>
      <c r="U1000" s="18"/>
      <c r="V1000" s="18"/>
      <c r="W1000" s="18"/>
      <c r="X1000" s="18"/>
      <c r="Y1000" s="19"/>
    </row>
    <row r="1001" ht="15" customHeight="1">
      <c r="A1001" s="27"/>
      <c r="B1001" s="18"/>
      <c r="C1001" s="18"/>
      <c r="D1001" s="18"/>
      <c r="E1001" s="18"/>
      <c r="F1001" s="18"/>
      <c r="G1001" s="18"/>
      <c r="H1001" s="18"/>
      <c r="I1001" s="18"/>
      <c r="J1001" s="18"/>
      <c r="K1001" s="18"/>
      <c r="L1001" s="18"/>
      <c r="M1001" s="18"/>
      <c r="N1001" s="18"/>
      <c r="O1001" s="18"/>
      <c r="P1001" s="18"/>
      <c r="Q1001" s="18"/>
      <c r="R1001" s="31"/>
      <c r="S1001" s="18"/>
      <c r="T1001" s="18"/>
      <c r="U1001" s="18"/>
      <c r="V1001" s="18"/>
      <c r="W1001" s="18"/>
      <c r="X1001" s="18"/>
      <c r="Y1001" s="19"/>
    </row>
    <row r="1002" ht="15" customHeight="1">
      <c r="A1002" s="27"/>
      <c r="B1002" s="18"/>
      <c r="C1002" s="18"/>
      <c r="D1002" s="18"/>
      <c r="E1002" s="18"/>
      <c r="F1002" s="18"/>
      <c r="G1002" s="18"/>
      <c r="H1002" s="18"/>
      <c r="I1002" s="18"/>
      <c r="J1002" s="18"/>
      <c r="K1002" s="18"/>
      <c r="L1002" s="18"/>
      <c r="M1002" s="18"/>
      <c r="N1002" s="18"/>
      <c r="O1002" s="18"/>
      <c r="P1002" s="18"/>
      <c r="Q1002" s="18"/>
      <c r="R1002" s="31"/>
      <c r="S1002" s="18"/>
      <c r="T1002" s="18"/>
      <c r="U1002" s="18"/>
      <c r="V1002" s="18"/>
      <c r="W1002" s="18"/>
      <c r="X1002" s="18"/>
      <c r="Y1002" s="19"/>
    </row>
    <row r="1003" ht="15" customHeight="1">
      <c r="A1003" s="27"/>
      <c r="B1003" s="18"/>
      <c r="C1003" s="18"/>
      <c r="D1003" s="18"/>
      <c r="E1003" s="18"/>
      <c r="F1003" s="18"/>
      <c r="G1003" s="18"/>
      <c r="H1003" s="18"/>
      <c r="I1003" s="18"/>
      <c r="J1003" s="18"/>
      <c r="K1003" s="18"/>
      <c r="L1003" s="18"/>
      <c r="M1003" s="18"/>
      <c r="N1003" s="18"/>
      <c r="O1003" s="18"/>
      <c r="P1003" s="18"/>
      <c r="Q1003" s="18"/>
      <c r="R1003" s="31"/>
      <c r="S1003" s="18"/>
      <c r="T1003" s="18"/>
      <c r="U1003" s="18"/>
      <c r="V1003" s="18"/>
      <c r="W1003" s="18"/>
      <c r="X1003" s="18"/>
      <c r="Y1003" s="19"/>
    </row>
    <row r="1004" ht="15" customHeight="1">
      <c r="A1004" s="27"/>
      <c r="B1004" s="18"/>
      <c r="C1004" s="18"/>
      <c r="D1004" s="18"/>
      <c r="E1004" s="18"/>
      <c r="F1004" s="18"/>
      <c r="G1004" s="18"/>
      <c r="H1004" s="18"/>
      <c r="I1004" s="18"/>
      <c r="J1004" s="18"/>
      <c r="K1004" s="18"/>
      <c r="L1004" s="18"/>
      <c r="M1004" s="18"/>
      <c r="N1004" s="18"/>
      <c r="O1004" s="18"/>
      <c r="P1004" s="18"/>
      <c r="Q1004" s="18"/>
      <c r="R1004" s="31"/>
      <c r="S1004" s="18"/>
      <c r="T1004" s="18"/>
      <c r="U1004" s="18"/>
      <c r="V1004" s="18"/>
      <c r="W1004" s="18"/>
      <c r="X1004" s="18"/>
      <c r="Y1004" s="19"/>
    </row>
    <row r="1005" ht="15" customHeight="1">
      <c r="A1005" s="27"/>
      <c r="B1005" s="18"/>
      <c r="C1005" s="18"/>
      <c r="D1005" s="18"/>
      <c r="E1005" s="18"/>
      <c r="F1005" s="18"/>
      <c r="G1005" s="18"/>
      <c r="H1005" s="18"/>
      <c r="I1005" s="18"/>
      <c r="J1005" s="18"/>
      <c r="K1005" s="18"/>
      <c r="L1005" s="18"/>
      <c r="M1005" s="18"/>
      <c r="N1005" s="18"/>
      <c r="O1005" s="18"/>
      <c r="P1005" s="18"/>
      <c r="Q1005" s="18"/>
      <c r="R1005" s="31"/>
      <c r="S1005" s="18"/>
      <c r="T1005" s="18"/>
      <c r="U1005" s="18"/>
      <c r="V1005" s="18"/>
      <c r="W1005" s="18"/>
      <c r="X1005" s="18"/>
      <c r="Y1005" s="19"/>
    </row>
    <row r="1006" ht="15" customHeight="1">
      <c r="A1006" s="27"/>
      <c r="B1006" s="18"/>
      <c r="C1006" s="18"/>
      <c r="D1006" s="18"/>
      <c r="E1006" s="18"/>
      <c r="F1006" s="18"/>
      <c r="G1006" s="18"/>
      <c r="H1006" s="18"/>
      <c r="I1006" s="18"/>
      <c r="J1006" s="18"/>
      <c r="K1006" s="18"/>
      <c r="L1006" s="18"/>
      <c r="M1006" s="18"/>
      <c r="N1006" s="18"/>
      <c r="O1006" s="18"/>
      <c r="P1006" s="18"/>
      <c r="Q1006" s="18"/>
      <c r="R1006" s="31"/>
      <c r="S1006" s="18"/>
      <c r="T1006" s="18"/>
      <c r="U1006" s="18"/>
      <c r="V1006" s="18"/>
      <c r="W1006" s="18"/>
      <c r="X1006" s="18"/>
      <c r="Y1006" s="19"/>
    </row>
    <row r="1007" ht="15" customHeight="1">
      <c r="A1007" s="27"/>
      <c r="B1007" s="18"/>
      <c r="C1007" s="18"/>
      <c r="D1007" s="18"/>
      <c r="E1007" s="18"/>
      <c r="F1007" s="18"/>
      <c r="G1007" s="18"/>
      <c r="H1007" s="18"/>
      <c r="I1007" s="18"/>
      <c r="J1007" s="18"/>
      <c r="K1007" s="18"/>
      <c r="L1007" s="18"/>
      <c r="M1007" s="18"/>
      <c r="N1007" s="18"/>
      <c r="O1007" s="18"/>
      <c r="P1007" s="18"/>
      <c r="Q1007" s="18"/>
      <c r="R1007" s="31"/>
      <c r="S1007" s="18"/>
      <c r="T1007" s="18"/>
      <c r="U1007" s="18"/>
      <c r="V1007" s="18"/>
      <c r="W1007" s="18"/>
      <c r="X1007" s="18"/>
      <c r="Y1007" s="19"/>
    </row>
    <row r="1008" ht="15" customHeight="1">
      <c r="A1008" s="27"/>
      <c r="B1008" s="18"/>
      <c r="C1008" s="18"/>
      <c r="D1008" s="18"/>
      <c r="E1008" s="18"/>
      <c r="F1008" s="18"/>
      <c r="G1008" s="18"/>
      <c r="H1008" s="18"/>
      <c r="I1008" s="18"/>
      <c r="J1008" s="18"/>
      <c r="K1008" s="18"/>
      <c r="L1008" s="18"/>
      <c r="M1008" s="18"/>
      <c r="N1008" s="18"/>
      <c r="O1008" s="18"/>
      <c r="P1008" s="18"/>
      <c r="Q1008" s="18"/>
      <c r="R1008" s="31"/>
      <c r="S1008" s="18"/>
      <c r="T1008" s="18"/>
      <c r="U1008" s="18"/>
      <c r="V1008" s="18"/>
      <c r="W1008" s="18"/>
      <c r="X1008" s="18"/>
      <c r="Y1008" s="19"/>
    </row>
    <row r="1009" ht="15" customHeight="1">
      <c r="A1009" s="27"/>
      <c r="B1009" s="18"/>
      <c r="C1009" s="18"/>
      <c r="D1009" s="18"/>
      <c r="E1009" s="18"/>
      <c r="F1009" s="18"/>
      <c r="G1009" s="18"/>
      <c r="H1009" s="18"/>
      <c r="I1009" s="18"/>
      <c r="J1009" s="18"/>
      <c r="K1009" s="18"/>
      <c r="L1009" s="18"/>
      <c r="M1009" s="18"/>
      <c r="N1009" s="18"/>
      <c r="O1009" s="18"/>
      <c r="P1009" s="18"/>
      <c r="Q1009" s="18"/>
      <c r="R1009" s="31"/>
      <c r="S1009" s="18"/>
      <c r="T1009" s="18"/>
      <c r="U1009" s="18"/>
      <c r="V1009" s="18"/>
      <c r="W1009" s="18"/>
      <c r="X1009" s="18"/>
      <c r="Y1009" s="19"/>
    </row>
    <row r="1010" ht="15" customHeight="1">
      <c r="A1010" s="27"/>
      <c r="B1010" s="18"/>
      <c r="C1010" s="18"/>
      <c r="D1010" s="18"/>
      <c r="E1010" s="18"/>
      <c r="F1010" s="18"/>
      <c r="G1010" s="18"/>
      <c r="H1010" s="18"/>
      <c r="I1010" s="18"/>
      <c r="J1010" s="18"/>
      <c r="K1010" s="18"/>
      <c r="L1010" s="18"/>
      <c r="M1010" s="18"/>
      <c r="N1010" s="18"/>
      <c r="O1010" s="18"/>
      <c r="P1010" s="18"/>
      <c r="Q1010" s="18"/>
      <c r="R1010" s="31"/>
      <c r="S1010" s="18"/>
      <c r="T1010" s="18"/>
      <c r="U1010" s="18"/>
      <c r="V1010" s="18"/>
      <c r="W1010" s="18"/>
      <c r="X1010" s="18"/>
      <c r="Y1010" s="19"/>
    </row>
    <row r="1011" ht="15" customHeight="1">
      <c r="A1011" s="27"/>
      <c r="B1011" s="18"/>
      <c r="C1011" s="18"/>
      <c r="D1011" s="18"/>
      <c r="E1011" s="18"/>
      <c r="F1011" s="18"/>
      <c r="G1011" s="18"/>
      <c r="H1011" s="18"/>
      <c r="I1011" s="18"/>
      <c r="J1011" s="18"/>
      <c r="K1011" s="18"/>
      <c r="L1011" s="18"/>
      <c r="M1011" s="18"/>
      <c r="N1011" s="18"/>
      <c r="O1011" s="18"/>
      <c r="P1011" s="18"/>
      <c r="Q1011" s="18"/>
      <c r="R1011" s="31"/>
      <c r="S1011" s="18"/>
      <c r="T1011" s="18"/>
      <c r="U1011" s="18"/>
      <c r="V1011" s="18"/>
      <c r="W1011" s="18"/>
      <c r="X1011" s="18"/>
      <c r="Y1011" s="19"/>
    </row>
    <row r="1012" ht="15" customHeight="1">
      <c r="A1012" s="27"/>
      <c r="B1012" s="18"/>
      <c r="C1012" s="18"/>
      <c r="D1012" s="18"/>
      <c r="E1012" s="18"/>
      <c r="F1012" s="18"/>
      <c r="G1012" s="18"/>
      <c r="H1012" s="18"/>
      <c r="I1012" s="18"/>
      <c r="J1012" s="18"/>
      <c r="K1012" s="18"/>
      <c r="L1012" s="18"/>
      <c r="M1012" s="18"/>
      <c r="N1012" s="18"/>
      <c r="O1012" s="18"/>
      <c r="P1012" s="18"/>
      <c r="Q1012" s="18"/>
      <c r="R1012" s="31"/>
      <c r="S1012" s="18"/>
      <c r="T1012" s="18"/>
      <c r="U1012" s="18"/>
      <c r="V1012" s="18"/>
      <c r="W1012" s="18"/>
      <c r="X1012" s="18"/>
      <c r="Y1012" s="19"/>
    </row>
    <row r="1013" ht="15" customHeight="1">
      <c r="A1013" s="27"/>
      <c r="B1013" s="18"/>
      <c r="C1013" s="18"/>
      <c r="D1013" s="18"/>
      <c r="E1013" s="18"/>
      <c r="F1013" s="18"/>
      <c r="G1013" s="18"/>
      <c r="H1013" s="18"/>
      <c r="I1013" s="18"/>
      <c r="J1013" s="18"/>
      <c r="K1013" s="18"/>
      <c r="L1013" s="18"/>
      <c r="M1013" s="18"/>
      <c r="N1013" s="18"/>
      <c r="O1013" s="18"/>
      <c r="P1013" s="18"/>
      <c r="Q1013" s="18"/>
      <c r="R1013" s="31"/>
      <c r="S1013" s="18"/>
      <c r="T1013" s="18"/>
      <c r="U1013" s="18"/>
      <c r="V1013" s="18"/>
      <c r="W1013" s="18"/>
      <c r="X1013" s="18"/>
      <c r="Y1013" s="19"/>
    </row>
    <row r="1014" ht="15" customHeight="1">
      <c r="A1014" s="27"/>
      <c r="B1014" s="18"/>
      <c r="C1014" s="18"/>
      <c r="D1014" s="18"/>
      <c r="E1014" s="18"/>
      <c r="F1014" s="18"/>
      <c r="G1014" s="18"/>
      <c r="H1014" s="18"/>
      <c r="I1014" s="18"/>
      <c r="J1014" s="18"/>
      <c r="K1014" s="18"/>
      <c r="L1014" s="18"/>
      <c r="M1014" s="18"/>
      <c r="N1014" s="18"/>
      <c r="O1014" s="18"/>
      <c r="P1014" s="18"/>
      <c r="Q1014" s="18"/>
      <c r="R1014" s="31"/>
      <c r="S1014" s="18"/>
      <c r="T1014" s="18"/>
      <c r="U1014" s="18"/>
      <c r="V1014" s="18"/>
      <c r="W1014" s="18"/>
      <c r="X1014" s="18"/>
      <c r="Y1014" s="19"/>
    </row>
    <row r="1015" ht="15" customHeight="1">
      <c r="A1015" s="27"/>
      <c r="B1015" s="18"/>
      <c r="C1015" s="18"/>
      <c r="D1015" s="18"/>
      <c r="E1015" s="18"/>
      <c r="F1015" s="18"/>
      <c r="G1015" s="18"/>
      <c r="H1015" s="18"/>
      <c r="I1015" s="18"/>
      <c r="J1015" s="18"/>
      <c r="K1015" s="18"/>
      <c r="L1015" s="18"/>
      <c r="M1015" s="18"/>
      <c r="N1015" s="18"/>
      <c r="O1015" s="18"/>
      <c r="P1015" s="18"/>
      <c r="Q1015" s="18"/>
      <c r="R1015" s="31"/>
      <c r="S1015" s="18"/>
      <c r="T1015" s="18"/>
      <c r="U1015" s="18"/>
      <c r="V1015" s="18"/>
      <c r="W1015" s="18"/>
      <c r="X1015" s="18"/>
      <c r="Y1015" s="19"/>
    </row>
    <row r="1016" ht="15" customHeight="1">
      <c r="A1016" s="27"/>
      <c r="B1016" s="18"/>
      <c r="C1016" s="18"/>
      <c r="D1016" s="18"/>
      <c r="E1016" s="18"/>
      <c r="F1016" s="18"/>
      <c r="G1016" s="18"/>
      <c r="H1016" s="18"/>
      <c r="I1016" s="18"/>
      <c r="J1016" s="18"/>
      <c r="K1016" s="18"/>
      <c r="L1016" s="18"/>
      <c r="M1016" s="18"/>
      <c r="N1016" s="18"/>
      <c r="O1016" s="18"/>
      <c r="P1016" s="18"/>
      <c r="Q1016" s="18"/>
      <c r="R1016" s="31"/>
      <c r="S1016" s="18"/>
      <c r="T1016" s="18"/>
      <c r="U1016" s="18"/>
      <c r="V1016" s="18"/>
      <c r="W1016" s="18"/>
      <c r="X1016" s="18"/>
      <c r="Y1016" s="19"/>
    </row>
    <row r="1017" ht="15" customHeight="1">
      <c r="A1017" s="27"/>
      <c r="B1017" s="18"/>
      <c r="C1017" s="18"/>
      <c r="D1017" s="18"/>
      <c r="E1017" s="18"/>
      <c r="F1017" s="18"/>
      <c r="G1017" s="18"/>
      <c r="H1017" s="18"/>
      <c r="I1017" s="18"/>
      <c r="J1017" s="18"/>
      <c r="K1017" s="18"/>
      <c r="L1017" s="18"/>
      <c r="M1017" s="18"/>
      <c r="N1017" s="18"/>
      <c r="O1017" s="18"/>
      <c r="P1017" s="18"/>
      <c r="Q1017" s="18"/>
      <c r="R1017" s="31"/>
      <c r="S1017" s="18"/>
      <c r="T1017" s="18"/>
      <c r="U1017" s="18"/>
      <c r="V1017" s="18"/>
      <c r="W1017" s="18"/>
      <c r="X1017" s="18"/>
      <c r="Y1017" s="19"/>
    </row>
    <row r="1018" ht="15" customHeight="1">
      <c r="A1018" s="27"/>
      <c r="B1018" s="18"/>
      <c r="C1018" s="18"/>
      <c r="D1018" s="18"/>
      <c r="E1018" s="18"/>
      <c r="F1018" s="18"/>
      <c r="G1018" s="18"/>
      <c r="H1018" s="18"/>
      <c r="I1018" s="18"/>
      <c r="J1018" s="18"/>
      <c r="K1018" s="18"/>
      <c r="L1018" s="18"/>
      <c r="M1018" s="18"/>
      <c r="N1018" s="18"/>
      <c r="O1018" s="18"/>
      <c r="P1018" s="18"/>
      <c r="Q1018" s="18"/>
      <c r="R1018" s="31"/>
      <c r="S1018" s="18"/>
      <c r="T1018" s="18"/>
      <c r="U1018" s="18"/>
      <c r="V1018" s="18"/>
      <c r="W1018" s="18"/>
      <c r="X1018" s="18"/>
      <c r="Y1018" s="19"/>
    </row>
    <row r="1019" ht="15" customHeight="1">
      <c r="A1019" s="27"/>
      <c r="B1019" s="18"/>
      <c r="C1019" s="18"/>
      <c r="D1019" s="18"/>
      <c r="E1019" s="18"/>
      <c r="F1019" s="18"/>
      <c r="G1019" s="18"/>
      <c r="H1019" s="18"/>
      <c r="I1019" s="18"/>
      <c r="J1019" s="18"/>
      <c r="K1019" s="18"/>
      <c r="L1019" s="18"/>
      <c r="M1019" s="18"/>
      <c r="N1019" s="18"/>
      <c r="O1019" s="18"/>
      <c r="P1019" s="18"/>
      <c r="Q1019" s="18"/>
      <c r="R1019" s="31"/>
      <c r="S1019" s="18"/>
      <c r="T1019" s="18"/>
      <c r="U1019" s="18"/>
      <c r="V1019" s="18"/>
      <c r="W1019" s="18"/>
      <c r="X1019" s="18"/>
      <c r="Y1019" s="19"/>
    </row>
    <row r="1020" ht="15" customHeight="1">
      <c r="A1020" s="27"/>
      <c r="B1020" s="18"/>
      <c r="C1020" s="18"/>
      <c r="D1020" s="18"/>
      <c r="E1020" s="18"/>
      <c r="F1020" s="18"/>
      <c r="G1020" s="18"/>
      <c r="H1020" s="18"/>
      <c r="I1020" s="18"/>
      <c r="J1020" s="18"/>
      <c r="K1020" s="18"/>
      <c r="L1020" s="18"/>
      <c r="M1020" s="18"/>
      <c r="N1020" s="18"/>
      <c r="O1020" s="18"/>
      <c r="P1020" s="18"/>
      <c r="Q1020" s="18"/>
      <c r="R1020" s="31"/>
      <c r="S1020" s="18"/>
      <c r="T1020" s="18"/>
      <c r="U1020" s="18"/>
      <c r="V1020" s="18"/>
      <c r="W1020" s="18"/>
      <c r="X1020" s="18"/>
      <c r="Y1020" s="19"/>
    </row>
    <row r="1021" ht="15" customHeight="1">
      <c r="A1021" s="27"/>
      <c r="B1021" s="18"/>
      <c r="C1021" s="18"/>
      <c r="D1021" s="18"/>
      <c r="E1021" s="18"/>
      <c r="F1021" s="18"/>
      <c r="G1021" s="18"/>
      <c r="H1021" s="18"/>
      <c r="I1021" s="18"/>
      <c r="J1021" s="18"/>
      <c r="K1021" s="18"/>
      <c r="L1021" s="18"/>
      <c r="M1021" s="18"/>
      <c r="N1021" s="18"/>
      <c r="O1021" s="18"/>
      <c r="P1021" s="18"/>
      <c r="Q1021" s="18"/>
      <c r="R1021" s="31"/>
      <c r="S1021" s="18"/>
      <c r="T1021" s="18"/>
      <c r="U1021" s="18"/>
      <c r="V1021" s="18"/>
      <c r="W1021" s="18"/>
      <c r="X1021" s="18"/>
      <c r="Y1021" s="19"/>
    </row>
    <row r="1022" ht="15" customHeight="1">
      <c r="A1022" s="103"/>
      <c r="B1022" s="18"/>
      <c r="C1022" s="31"/>
      <c r="D1022" s="18"/>
      <c r="E1022" s="18"/>
      <c r="F1022" s="18"/>
      <c r="G1022" s="18"/>
      <c r="H1022" s="18"/>
      <c r="I1022" s="18"/>
      <c r="J1022" s="18"/>
      <c r="K1022" s="18"/>
      <c r="L1022" s="18"/>
      <c r="M1022" s="18"/>
      <c r="N1022" s="18"/>
      <c r="O1022" s="18"/>
      <c r="P1022" s="31"/>
      <c r="Q1022" s="18"/>
      <c r="R1022" s="31"/>
      <c r="S1022" s="31"/>
      <c r="T1022" s="31"/>
      <c r="U1022" s="31"/>
      <c r="V1022" s="31"/>
      <c r="W1022" s="31"/>
      <c r="X1022" s="31"/>
      <c r="Y1022" s="45"/>
    </row>
    <row r="1023" ht="15" customHeight="1">
      <c r="A1023" s="103"/>
      <c r="B1023" s="18"/>
      <c r="C1023" s="31"/>
      <c r="D1023" s="18"/>
      <c r="E1023" s="18"/>
      <c r="F1023" s="18"/>
      <c r="G1023" s="18"/>
      <c r="H1023" s="18"/>
      <c r="I1023" s="18"/>
      <c r="J1023" s="18"/>
      <c r="K1023" s="18"/>
      <c r="L1023" s="18"/>
      <c r="M1023" s="18"/>
      <c r="N1023" s="18"/>
      <c r="O1023" s="18"/>
      <c r="P1023" s="31"/>
      <c r="Q1023" s="18"/>
      <c r="R1023" s="31"/>
      <c r="S1023" s="31"/>
      <c r="T1023" s="31"/>
      <c r="U1023" s="31"/>
      <c r="V1023" s="31"/>
      <c r="W1023" s="31"/>
      <c r="X1023" s="31"/>
      <c r="Y1023" s="45"/>
    </row>
    <row r="1024" ht="15" customHeight="1">
      <c r="A1024" s="103"/>
      <c r="B1024" s="18"/>
      <c r="C1024" s="31"/>
      <c r="D1024" s="18"/>
      <c r="E1024" s="18"/>
      <c r="F1024" s="18"/>
      <c r="G1024" s="18"/>
      <c r="H1024" s="18"/>
      <c r="I1024" s="18"/>
      <c r="J1024" s="18"/>
      <c r="K1024" s="18"/>
      <c r="L1024" s="18"/>
      <c r="M1024" s="18"/>
      <c r="N1024" s="18"/>
      <c r="O1024" s="18"/>
      <c r="P1024" s="31"/>
      <c r="Q1024" s="18"/>
      <c r="R1024" s="31"/>
      <c r="S1024" s="31"/>
      <c r="T1024" s="31"/>
      <c r="U1024" s="31"/>
      <c r="V1024" s="31"/>
      <c r="W1024" s="31"/>
      <c r="X1024" s="31"/>
      <c r="Y1024" s="45"/>
    </row>
    <row r="1025" ht="15" customHeight="1">
      <c r="A1025" s="103"/>
      <c r="B1025" s="18"/>
      <c r="C1025" s="31"/>
      <c r="D1025" s="18"/>
      <c r="E1025" s="18"/>
      <c r="F1025" s="18"/>
      <c r="G1025" s="18"/>
      <c r="H1025" s="18"/>
      <c r="I1025" s="18"/>
      <c r="J1025" s="18"/>
      <c r="K1025" s="18"/>
      <c r="L1025" s="18"/>
      <c r="M1025" s="18"/>
      <c r="N1025" s="18"/>
      <c r="O1025" s="18"/>
      <c r="P1025" s="31"/>
      <c r="Q1025" s="18"/>
      <c r="R1025" s="31"/>
      <c r="S1025" s="31"/>
      <c r="T1025" s="31"/>
      <c r="U1025" s="31"/>
      <c r="V1025" s="31"/>
      <c r="W1025" s="31"/>
      <c r="X1025" s="31"/>
      <c r="Y1025" s="45"/>
    </row>
    <row r="1026" ht="15" customHeight="1">
      <c r="A1026" s="103"/>
      <c r="B1026" s="18"/>
      <c r="C1026" s="31"/>
      <c r="D1026" s="18"/>
      <c r="E1026" s="18"/>
      <c r="F1026" s="18"/>
      <c r="G1026" s="18"/>
      <c r="H1026" s="18"/>
      <c r="I1026" s="18"/>
      <c r="J1026" s="18"/>
      <c r="K1026" s="18"/>
      <c r="L1026" s="18"/>
      <c r="M1026" s="18"/>
      <c r="N1026" s="18"/>
      <c r="O1026" s="18"/>
      <c r="P1026" s="31"/>
      <c r="Q1026" s="18"/>
      <c r="R1026" s="31"/>
      <c r="S1026" s="31"/>
      <c r="T1026" s="31"/>
      <c r="U1026" s="31"/>
      <c r="V1026" s="31"/>
      <c r="W1026" s="31"/>
      <c r="X1026" s="31"/>
      <c r="Y1026" s="45"/>
    </row>
    <row r="1027" ht="15" customHeight="1">
      <c r="A1027" s="103"/>
      <c r="B1027" s="18"/>
      <c r="C1027" s="31"/>
      <c r="D1027" s="18"/>
      <c r="E1027" s="18"/>
      <c r="F1027" s="18"/>
      <c r="G1027" s="18"/>
      <c r="H1027" s="18"/>
      <c r="I1027" s="18"/>
      <c r="J1027" s="18"/>
      <c r="K1027" s="18"/>
      <c r="L1027" s="18"/>
      <c r="M1027" s="18"/>
      <c r="N1027" s="18"/>
      <c r="O1027" s="18"/>
      <c r="P1027" s="31"/>
      <c r="Q1027" s="18"/>
      <c r="R1027" s="31"/>
      <c r="S1027" s="31"/>
      <c r="T1027" s="31"/>
      <c r="U1027" s="31"/>
      <c r="V1027" s="31"/>
      <c r="W1027" s="31"/>
      <c r="X1027" s="31"/>
      <c r="Y1027" s="45"/>
    </row>
    <row r="1028" ht="15" customHeight="1">
      <c r="A1028" s="103"/>
      <c r="B1028" s="18"/>
      <c r="C1028" s="31"/>
      <c r="D1028" s="18"/>
      <c r="E1028" s="18"/>
      <c r="F1028" s="18"/>
      <c r="G1028" s="18"/>
      <c r="H1028" s="18"/>
      <c r="I1028" s="18"/>
      <c r="J1028" s="18"/>
      <c r="K1028" s="18"/>
      <c r="L1028" s="18"/>
      <c r="M1028" s="18"/>
      <c r="N1028" s="18"/>
      <c r="O1028" s="18"/>
      <c r="P1028" s="31"/>
      <c r="Q1028" s="18"/>
      <c r="R1028" s="31"/>
      <c r="S1028" s="31"/>
      <c r="T1028" s="31"/>
      <c r="U1028" s="31"/>
      <c r="V1028" s="31"/>
      <c r="W1028" s="31"/>
      <c r="X1028" s="31"/>
      <c r="Y1028" s="45"/>
    </row>
    <row r="1029" ht="15" customHeight="1">
      <c r="A1029" s="103"/>
      <c r="B1029" s="18"/>
      <c r="C1029" s="31"/>
      <c r="D1029" s="18"/>
      <c r="E1029" s="18"/>
      <c r="F1029" s="18"/>
      <c r="G1029" s="18"/>
      <c r="H1029" s="18"/>
      <c r="I1029" s="18"/>
      <c r="J1029" s="18"/>
      <c r="K1029" s="18"/>
      <c r="L1029" s="18"/>
      <c r="M1029" s="18"/>
      <c r="N1029" s="18"/>
      <c r="O1029" s="18"/>
      <c r="P1029" s="31"/>
      <c r="Q1029" s="18"/>
      <c r="R1029" s="31"/>
      <c r="S1029" s="31"/>
      <c r="T1029" s="31"/>
      <c r="U1029" s="31"/>
      <c r="V1029" s="31"/>
      <c r="W1029" s="31"/>
      <c r="X1029" s="31"/>
      <c r="Y1029" s="45"/>
    </row>
    <row r="1030" ht="15" customHeight="1">
      <c r="A1030" s="103"/>
      <c r="B1030" s="18"/>
      <c r="C1030" s="31"/>
      <c r="D1030" s="18"/>
      <c r="E1030" s="18"/>
      <c r="F1030" s="18"/>
      <c r="G1030" s="18"/>
      <c r="H1030" s="18"/>
      <c r="I1030" s="18"/>
      <c r="J1030" s="18"/>
      <c r="K1030" s="18"/>
      <c r="L1030" s="18"/>
      <c r="M1030" s="18"/>
      <c r="N1030" s="18"/>
      <c r="O1030" s="18"/>
      <c r="P1030" s="31"/>
      <c r="Q1030" s="18"/>
      <c r="R1030" s="31"/>
      <c r="S1030" s="31"/>
      <c r="T1030" s="31"/>
      <c r="U1030" s="31"/>
      <c r="V1030" s="31"/>
      <c r="W1030" s="31"/>
      <c r="X1030" s="31"/>
      <c r="Y1030" s="45"/>
    </row>
    <row r="1031" ht="15" customHeight="1">
      <c r="A1031" s="103"/>
      <c r="B1031" s="18"/>
      <c r="C1031" s="31"/>
      <c r="D1031" s="18"/>
      <c r="E1031" s="18"/>
      <c r="F1031" s="18"/>
      <c r="G1031" s="18"/>
      <c r="H1031" s="18"/>
      <c r="I1031" s="18"/>
      <c r="J1031" s="18"/>
      <c r="K1031" s="18"/>
      <c r="L1031" s="18"/>
      <c r="M1031" s="18"/>
      <c r="N1031" s="18"/>
      <c r="O1031" s="18"/>
      <c r="P1031" s="31"/>
      <c r="Q1031" s="18"/>
      <c r="R1031" s="31"/>
      <c r="S1031" s="31"/>
      <c r="T1031" s="31"/>
      <c r="U1031" s="31"/>
      <c r="V1031" s="31"/>
      <c r="W1031" s="31"/>
      <c r="X1031" s="31"/>
      <c r="Y1031" s="45"/>
    </row>
    <row r="1032" ht="15" customHeight="1">
      <c r="A1032" s="103"/>
      <c r="B1032" s="18"/>
      <c r="C1032" s="31"/>
      <c r="D1032" s="18"/>
      <c r="E1032" s="18"/>
      <c r="F1032" s="18"/>
      <c r="G1032" s="18"/>
      <c r="H1032" s="18"/>
      <c r="I1032" s="18"/>
      <c r="J1032" s="18"/>
      <c r="K1032" s="18"/>
      <c r="L1032" s="18"/>
      <c r="M1032" s="18"/>
      <c r="N1032" s="18"/>
      <c r="O1032" s="18"/>
      <c r="P1032" s="31"/>
      <c r="Q1032" s="18"/>
      <c r="R1032" s="31"/>
      <c r="S1032" s="31"/>
      <c r="T1032" s="31"/>
      <c r="U1032" s="31"/>
      <c r="V1032" s="31"/>
      <c r="W1032" s="31"/>
      <c r="X1032" s="31"/>
      <c r="Y1032" s="45"/>
    </row>
    <row r="1033" ht="15" customHeight="1">
      <c r="A1033" s="103"/>
      <c r="B1033" s="18"/>
      <c r="C1033" s="31"/>
      <c r="D1033" s="18"/>
      <c r="E1033" s="18"/>
      <c r="F1033" s="18"/>
      <c r="G1033" s="18"/>
      <c r="H1033" s="18"/>
      <c r="I1033" s="18"/>
      <c r="J1033" s="18"/>
      <c r="K1033" s="18"/>
      <c r="L1033" s="18"/>
      <c r="M1033" s="18"/>
      <c r="N1033" s="18"/>
      <c r="O1033" s="18"/>
      <c r="P1033" s="31"/>
      <c r="Q1033" s="18"/>
      <c r="R1033" s="31"/>
      <c r="S1033" s="31"/>
      <c r="T1033" s="31"/>
      <c r="U1033" s="31"/>
      <c r="V1033" s="31"/>
      <c r="W1033" s="31"/>
      <c r="X1033" s="31"/>
      <c r="Y1033" s="45"/>
    </row>
    <row r="1034" ht="15" customHeight="1">
      <c r="A1034" s="103"/>
      <c r="B1034" s="18"/>
      <c r="C1034" s="31"/>
      <c r="D1034" s="18"/>
      <c r="E1034" s="18"/>
      <c r="F1034" s="18"/>
      <c r="G1034" s="18"/>
      <c r="H1034" s="18"/>
      <c r="I1034" s="18"/>
      <c r="J1034" s="18"/>
      <c r="K1034" s="18"/>
      <c r="L1034" s="18"/>
      <c r="M1034" s="18"/>
      <c r="N1034" s="18"/>
      <c r="O1034" s="18"/>
      <c r="P1034" s="31"/>
      <c r="Q1034" s="18"/>
      <c r="R1034" s="31"/>
      <c r="S1034" s="31"/>
      <c r="T1034" s="31"/>
      <c r="U1034" s="31"/>
      <c r="V1034" s="31"/>
      <c r="W1034" s="31"/>
      <c r="X1034" s="31"/>
      <c r="Y1034" s="45"/>
    </row>
    <row r="1035" ht="15" customHeight="1">
      <c r="A1035" s="103"/>
      <c r="B1035" s="18"/>
      <c r="C1035" s="31"/>
      <c r="D1035" s="18"/>
      <c r="E1035" s="18"/>
      <c r="F1035" s="18"/>
      <c r="G1035" s="18"/>
      <c r="H1035" s="18"/>
      <c r="I1035" s="18"/>
      <c r="J1035" s="18"/>
      <c r="K1035" s="18"/>
      <c r="L1035" s="18"/>
      <c r="M1035" s="18"/>
      <c r="N1035" s="18"/>
      <c r="O1035" s="18"/>
      <c r="P1035" s="31"/>
      <c r="Q1035" s="18"/>
      <c r="R1035" s="31"/>
      <c r="S1035" s="31"/>
      <c r="T1035" s="31"/>
      <c r="U1035" s="31"/>
      <c r="V1035" s="31"/>
      <c r="W1035" s="31"/>
      <c r="X1035" s="31"/>
      <c r="Y1035" s="45"/>
    </row>
    <row r="1036" ht="15" customHeight="1">
      <c r="A1036" s="103"/>
      <c r="B1036" s="18"/>
      <c r="C1036" s="31"/>
      <c r="D1036" s="18"/>
      <c r="E1036" s="18"/>
      <c r="F1036" s="18"/>
      <c r="G1036" s="18"/>
      <c r="H1036" s="18"/>
      <c r="I1036" s="18"/>
      <c r="J1036" s="18"/>
      <c r="K1036" s="18"/>
      <c r="L1036" s="18"/>
      <c r="M1036" s="18"/>
      <c r="N1036" s="18"/>
      <c r="O1036" s="18"/>
      <c r="P1036" s="31"/>
      <c r="Q1036" s="18"/>
      <c r="R1036" s="31"/>
      <c r="S1036" s="31"/>
      <c r="T1036" s="31"/>
      <c r="U1036" s="31"/>
      <c r="V1036" s="31"/>
      <c r="W1036" s="31"/>
      <c r="X1036" s="31"/>
      <c r="Y1036" s="45"/>
    </row>
    <row r="1037" ht="15" customHeight="1">
      <c r="A1037" s="103"/>
      <c r="B1037" s="18"/>
      <c r="C1037" s="31"/>
      <c r="D1037" s="18"/>
      <c r="E1037" s="18"/>
      <c r="F1037" s="18"/>
      <c r="G1037" s="18"/>
      <c r="H1037" s="18"/>
      <c r="I1037" s="18"/>
      <c r="J1037" s="18"/>
      <c r="K1037" s="18"/>
      <c r="L1037" s="18"/>
      <c r="M1037" s="18"/>
      <c r="N1037" s="18"/>
      <c r="O1037" s="18"/>
      <c r="P1037" s="31"/>
      <c r="Q1037" s="18"/>
      <c r="R1037" s="31"/>
      <c r="S1037" s="31"/>
      <c r="T1037" s="31"/>
      <c r="U1037" s="31"/>
      <c r="V1037" s="31"/>
      <c r="W1037" s="31"/>
      <c r="X1037" s="31"/>
      <c r="Y1037" s="45"/>
    </row>
    <row r="1038" ht="15" customHeight="1">
      <c r="A1038" s="103"/>
      <c r="B1038" s="18"/>
      <c r="C1038" s="31"/>
      <c r="D1038" s="18"/>
      <c r="E1038" s="18"/>
      <c r="F1038" s="18"/>
      <c r="G1038" s="18"/>
      <c r="H1038" s="18"/>
      <c r="I1038" s="18"/>
      <c r="J1038" s="18"/>
      <c r="K1038" s="18"/>
      <c r="L1038" s="18"/>
      <c r="M1038" s="18"/>
      <c r="N1038" s="18"/>
      <c r="O1038" s="18"/>
      <c r="P1038" s="31"/>
      <c r="Q1038" s="18"/>
      <c r="R1038" s="31"/>
      <c r="S1038" s="31"/>
      <c r="T1038" s="31"/>
      <c r="U1038" s="31"/>
      <c r="V1038" s="31"/>
      <c r="W1038" s="31"/>
      <c r="X1038" s="31"/>
      <c r="Y1038" s="45"/>
    </row>
    <row r="1039" ht="15" customHeight="1">
      <c r="A1039" s="103"/>
      <c r="B1039" s="18"/>
      <c r="C1039" s="31"/>
      <c r="D1039" s="18"/>
      <c r="E1039" s="18"/>
      <c r="F1039" s="18"/>
      <c r="G1039" s="18"/>
      <c r="H1039" s="18"/>
      <c r="I1039" s="18"/>
      <c r="J1039" s="18"/>
      <c r="K1039" s="18"/>
      <c r="L1039" s="18"/>
      <c r="M1039" s="18"/>
      <c r="N1039" s="18"/>
      <c r="O1039" s="18"/>
      <c r="P1039" s="31"/>
      <c r="Q1039" s="18"/>
      <c r="R1039" s="31"/>
      <c r="S1039" s="31"/>
      <c r="T1039" s="31"/>
      <c r="U1039" s="31"/>
      <c r="V1039" s="31"/>
      <c r="W1039" s="31"/>
      <c r="X1039" s="31"/>
      <c r="Y1039" s="45"/>
    </row>
    <row r="1040" ht="15" customHeight="1">
      <c r="A1040" s="103"/>
      <c r="B1040" s="18"/>
      <c r="C1040" s="31"/>
      <c r="D1040" s="18"/>
      <c r="E1040" s="18"/>
      <c r="F1040" s="18"/>
      <c r="G1040" s="18"/>
      <c r="H1040" s="18"/>
      <c r="I1040" s="18"/>
      <c r="J1040" s="18"/>
      <c r="K1040" s="18"/>
      <c r="L1040" s="18"/>
      <c r="M1040" s="18"/>
      <c r="N1040" s="18"/>
      <c r="O1040" s="18"/>
      <c r="P1040" s="31"/>
      <c r="Q1040" s="18"/>
      <c r="R1040" s="31"/>
      <c r="S1040" s="31"/>
      <c r="T1040" s="31"/>
      <c r="U1040" s="31"/>
      <c r="V1040" s="31"/>
      <c r="W1040" s="31"/>
      <c r="X1040" s="31"/>
      <c r="Y1040" s="45"/>
    </row>
    <row r="1041" ht="15" customHeight="1">
      <c r="A1041" s="103"/>
      <c r="B1041" s="18"/>
      <c r="C1041" s="31"/>
      <c r="D1041" s="18"/>
      <c r="E1041" s="18"/>
      <c r="F1041" s="18"/>
      <c r="G1041" s="18"/>
      <c r="H1041" s="18"/>
      <c r="I1041" s="18"/>
      <c r="J1041" s="18"/>
      <c r="K1041" s="18"/>
      <c r="L1041" s="18"/>
      <c r="M1041" s="18"/>
      <c r="N1041" s="18"/>
      <c r="O1041" s="18"/>
      <c r="P1041" s="31"/>
      <c r="Q1041" s="18"/>
      <c r="R1041" s="31"/>
      <c r="S1041" s="31"/>
      <c r="T1041" s="31"/>
      <c r="U1041" s="31"/>
      <c r="V1041" s="31"/>
      <c r="W1041" s="31"/>
      <c r="X1041" s="31"/>
      <c r="Y1041" s="45"/>
    </row>
    <row r="1042" ht="15" customHeight="1">
      <c r="A1042" s="103"/>
      <c r="B1042" s="18"/>
      <c r="C1042" s="31"/>
      <c r="D1042" s="18"/>
      <c r="E1042" s="18"/>
      <c r="F1042" s="18"/>
      <c r="G1042" s="18"/>
      <c r="H1042" s="18"/>
      <c r="I1042" s="18"/>
      <c r="J1042" s="18"/>
      <c r="K1042" s="18"/>
      <c r="L1042" s="18"/>
      <c r="M1042" s="18"/>
      <c r="N1042" s="18"/>
      <c r="O1042" s="18"/>
      <c r="P1042" s="31"/>
      <c r="Q1042" s="18"/>
      <c r="R1042" s="31"/>
      <c r="S1042" s="31"/>
      <c r="T1042" s="31"/>
      <c r="U1042" s="31"/>
      <c r="V1042" s="31"/>
      <c r="W1042" s="31"/>
      <c r="X1042" s="31"/>
      <c r="Y1042" s="45"/>
    </row>
    <row r="1043" ht="15" customHeight="1">
      <c r="A1043" s="104"/>
      <c r="B1043" s="105"/>
      <c r="C1043" s="106"/>
      <c r="D1043" s="105"/>
      <c r="E1043" s="105"/>
      <c r="F1043" s="105"/>
      <c r="G1043" s="105"/>
      <c r="H1043" s="105"/>
      <c r="I1043" s="105"/>
      <c r="J1043" s="105"/>
      <c r="K1043" s="105"/>
      <c r="L1043" s="105"/>
      <c r="M1043" s="105"/>
      <c r="N1043" s="105"/>
      <c r="O1043" s="105"/>
      <c r="P1043" s="106"/>
      <c r="Q1043" s="105"/>
      <c r="R1043" s="106"/>
      <c r="S1043" s="106"/>
      <c r="T1043" s="106"/>
      <c r="U1043" s="106"/>
      <c r="V1043" s="106"/>
      <c r="W1043" s="106"/>
      <c r="X1043" s="106"/>
      <c r="Y1043" s="107"/>
    </row>
  </sheetData>
  <mergeCells count="4">
    <mergeCell ref="B2:C2"/>
    <mergeCell ref="B3:C3"/>
    <mergeCell ref="B5:C5"/>
    <mergeCell ref="B6:C6"/>
  </mergeCells>
  <conditionalFormatting sqref="D9:O11 Q9:Q11 D15:O17 Q15:Q17 D21:O29 Q21:Q29 D32:O35 Q32:Q35 D37:O38 Q37:Q39 C39:O39 D40:O67 Q41:Q57 Q59:Q65 Q67:Q74 D68:O105 Q76:Q95 Q97:Q103 Q105:Q111 D106:O111">
    <cfRule type="cellIs" dxfId="1" priority="1" operator="lessThan" stopIfTrue="1">
      <formula>0</formula>
    </cfRule>
  </conditionalFormatting>
  <pageMargins left="0.3" right="0.3" top="0.3" bottom="0.3" header="0" footer="0"/>
  <pageSetup firstPageNumber="1" fitToHeight="1" fitToWidth="1" scale="100" useFirstPageNumber="0" orientation="landscape" pageOrder="downThenOver"/>
  <headerFooter>
    <oddFooter>&amp;C&amp;"Helvetica Neue,Regular"&amp;11&amp;K000000&amp;P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Y1046"/>
  <sheetViews>
    <sheetView workbookViewId="0" showGridLines="0" defaultGridColor="1"/>
  </sheetViews>
  <sheetFormatPr defaultColWidth="14.5" defaultRowHeight="15" customHeight="1" outlineLevelRow="0" outlineLevelCol="0"/>
  <cols>
    <col min="1" max="1" width="3.35156" style="112" customWidth="1"/>
    <col min="2" max="2" width="41" style="112" customWidth="1"/>
    <col min="3" max="14" width="18.8516" style="112" customWidth="1"/>
    <col min="15" max="15" width="3.35156" style="112" customWidth="1"/>
    <col min="16" max="16" width="18.8516" style="112" customWidth="1"/>
    <col min="17" max="17" width="3.35156" style="112" customWidth="1"/>
    <col min="18" max="18" width="4.67188" style="112" customWidth="1"/>
    <col min="19" max="25" width="28.6719" style="112" customWidth="1"/>
    <col min="26" max="16384" width="14.5" style="112" customWidth="1"/>
  </cols>
  <sheetData>
    <row r="1" ht="45" customHeight="1">
      <c r="A1" s="7"/>
      <c r="B1" t="s" s="8">
        <v>138</v>
      </c>
      <c r="C1" s="9"/>
      <c r="D1" s="10"/>
      <c r="E1" s="10"/>
      <c r="F1" s="10"/>
      <c r="G1" s="10"/>
      <c r="H1" s="10"/>
      <c r="I1" s="10"/>
      <c r="J1" s="10"/>
      <c r="K1" s="10"/>
      <c r="L1" s="10"/>
      <c r="M1" s="10"/>
      <c r="N1" s="10"/>
      <c r="O1" s="10"/>
      <c r="P1" s="10"/>
      <c r="Q1" s="10"/>
      <c r="R1" s="11"/>
      <c r="S1" s="11"/>
      <c r="T1" s="11"/>
      <c r="U1" s="11"/>
      <c r="V1" s="11"/>
      <c r="W1" s="11"/>
      <c r="X1" s="11"/>
      <c r="Y1" s="12"/>
    </row>
    <row r="2" ht="22" customHeight="1">
      <c r="A2" s="13"/>
      <c r="B2" t="s" s="14">
        <v>8</v>
      </c>
      <c r="C2" s="15"/>
      <c r="D2" s="16"/>
      <c r="E2" s="17"/>
      <c r="F2" s="17"/>
      <c r="G2" s="17"/>
      <c r="H2" s="17"/>
      <c r="I2" s="17"/>
      <c r="J2" s="17"/>
      <c r="K2" s="17"/>
      <c r="L2" s="17"/>
      <c r="M2" s="17"/>
      <c r="N2" s="17"/>
      <c r="O2" s="17"/>
      <c r="P2" s="17"/>
      <c r="Q2" s="18"/>
      <c r="R2" s="18"/>
      <c r="S2" s="18"/>
      <c r="T2" s="18"/>
      <c r="U2" s="18"/>
      <c r="V2" s="18"/>
      <c r="W2" s="18"/>
      <c r="X2" s="18"/>
      <c r="Y2" s="19"/>
    </row>
    <row r="3" ht="35" customHeight="1">
      <c r="A3" s="113"/>
      <c r="B3" t="str" s="114" cm="1">
        <f t="array" ref="B3">'SAMPLE - Monthly Profit &amp; Loss '!B3</f>
        <v>Hackboot</v>
      </c>
      <c r="C3" s="114"/>
      <c r="D3" s="115"/>
      <c r="E3" s="116"/>
      <c r="F3" s="116"/>
      <c r="G3" s="116"/>
      <c r="H3" s="116"/>
      <c r="I3" s="116"/>
      <c r="J3" s="116"/>
      <c r="K3" s="116"/>
      <c r="L3" s="116"/>
      <c r="M3" s="116"/>
      <c r="N3" s="116"/>
      <c r="O3" s="116"/>
      <c r="P3" s="116"/>
      <c r="Q3" s="117"/>
      <c r="R3" s="117"/>
      <c r="S3" s="117"/>
      <c r="T3" s="117"/>
      <c r="U3" s="117"/>
      <c r="V3" s="117"/>
      <c r="W3" s="117"/>
      <c r="X3" s="117"/>
      <c r="Y3" s="118"/>
    </row>
    <row r="4" ht="11" customHeight="1">
      <c r="A4" s="27"/>
      <c r="B4" s="119"/>
      <c r="C4" s="29"/>
      <c r="D4" s="30"/>
      <c r="E4" s="30"/>
      <c r="F4" s="30"/>
      <c r="G4" s="30"/>
      <c r="H4" s="30"/>
      <c r="I4" s="30"/>
      <c r="J4" s="30"/>
      <c r="K4" s="30"/>
      <c r="L4" s="30"/>
      <c r="M4" s="30"/>
      <c r="N4" s="30"/>
      <c r="O4" s="30"/>
      <c r="P4" s="30"/>
      <c r="Q4" s="31"/>
      <c r="R4" s="30"/>
      <c r="S4" s="18"/>
      <c r="T4" s="18"/>
      <c r="U4" s="18"/>
      <c r="V4" s="18"/>
      <c r="W4" s="18"/>
      <c r="X4" s="18"/>
      <c r="Y4" s="19"/>
    </row>
    <row r="5" ht="22" customHeight="1">
      <c r="A5" s="13"/>
      <c r="B5" t="s" s="14">
        <v>10</v>
      </c>
      <c r="C5" s="120"/>
      <c r="D5" s="16"/>
      <c r="E5" s="17"/>
      <c r="F5" s="17"/>
      <c r="G5" s="17"/>
      <c r="H5" s="17"/>
      <c r="I5" s="17"/>
      <c r="J5" s="17"/>
      <c r="K5" s="17"/>
      <c r="L5" s="17"/>
      <c r="M5" s="17"/>
      <c r="N5" s="17"/>
      <c r="O5" s="17"/>
      <c r="P5" s="17"/>
      <c r="Q5" s="18"/>
      <c r="R5" s="18"/>
      <c r="S5" s="18"/>
      <c r="T5" s="18"/>
      <c r="U5" s="18"/>
      <c r="V5" s="18"/>
      <c r="W5" s="18"/>
      <c r="X5" s="18"/>
      <c r="Y5" s="19"/>
    </row>
    <row r="6" ht="35" customHeight="1">
      <c r="A6" s="113"/>
      <c r="B6" s="121" cm="1">
        <f t="array" ref="B6">'SAMPLE - Monthly Profit &amp; Loss '!B6</f>
        <v>45984</v>
      </c>
      <c r="C6" s="114"/>
      <c r="D6" s="115"/>
      <c r="E6" s="116"/>
      <c r="F6" s="116"/>
      <c r="G6" s="116"/>
      <c r="H6" s="116"/>
      <c r="I6" s="116"/>
      <c r="J6" s="116"/>
      <c r="K6" s="116"/>
      <c r="L6" s="116"/>
      <c r="M6" s="116"/>
      <c r="N6" s="116"/>
      <c r="O6" s="116"/>
      <c r="P6" s="116"/>
      <c r="Q6" s="117"/>
      <c r="R6" s="117"/>
      <c r="S6" s="117"/>
      <c r="T6" s="117"/>
      <c r="U6" s="117"/>
      <c r="V6" s="117"/>
      <c r="W6" s="117"/>
      <c r="X6" s="117"/>
      <c r="Y6" s="118"/>
    </row>
    <row r="7" ht="11" customHeight="1">
      <c r="A7" s="27"/>
      <c r="B7" s="122"/>
      <c r="C7" s="29"/>
      <c r="D7" s="30"/>
      <c r="E7" s="30"/>
      <c r="F7" s="30"/>
      <c r="G7" s="30"/>
      <c r="H7" s="30"/>
      <c r="I7" s="30"/>
      <c r="J7" s="30"/>
      <c r="K7" s="30"/>
      <c r="L7" s="30"/>
      <c r="M7" s="30"/>
      <c r="N7" s="30"/>
      <c r="O7" s="30"/>
      <c r="P7" s="30"/>
      <c r="Q7" s="31"/>
      <c r="R7" s="30"/>
      <c r="S7" s="18"/>
      <c r="T7" s="18"/>
      <c r="U7" s="18"/>
      <c r="V7" s="18"/>
      <c r="W7" s="18"/>
      <c r="X7" s="18"/>
      <c r="Y7" s="19"/>
    </row>
    <row r="8" ht="20" customHeight="1">
      <c r="A8" s="35"/>
      <c r="B8" s="36"/>
      <c r="C8" t="s" s="37">
        <v>24</v>
      </c>
      <c r="D8" s="39"/>
      <c r="E8" s="24"/>
      <c r="F8" s="25"/>
      <c r="G8" s="25"/>
      <c r="H8" s="25"/>
      <c r="I8" s="25"/>
      <c r="J8" s="25"/>
      <c r="K8" s="25"/>
      <c r="L8" s="25"/>
      <c r="M8" s="31"/>
      <c r="N8" s="31"/>
      <c r="O8" s="31"/>
      <c r="P8" s="31"/>
      <c r="Q8" s="31"/>
      <c r="R8" s="31"/>
      <c r="S8" s="31"/>
      <c r="T8" s="31"/>
      <c r="U8" s="31"/>
      <c r="V8" s="31"/>
      <c r="W8" s="31"/>
      <c r="X8" s="31"/>
      <c r="Y8" s="45"/>
    </row>
    <row r="9" ht="20" customHeight="1">
      <c r="A9" s="40"/>
      <c r="B9" t="s" s="41">
        <v>25</v>
      </c>
      <c r="C9" s="123" cm="1">
        <f t="array" ref="C9">'SAMPLE - Monthly Profit &amp; Loss '!Q9</f>
        <v>131824.98</v>
      </c>
      <c r="D9" s="39"/>
      <c r="E9" s="124"/>
      <c r="F9" s="18"/>
      <c r="G9" s="18"/>
      <c r="H9" s="18"/>
      <c r="I9" s="18"/>
      <c r="J9" s="18"/>
      <c r="K9" s="31"/>
      <c r="L9" s="31"/>
      <c r="M9" s="31"/>
      <c r="N9" s="31"/>
      <c r="O9" s="31"/>
      <c r="P9" s="31"/>
      <c r="Q9" s="31"/>
      <c r="R9" s="31"/>
      <c r="S9" s="31"/>
      <c r="T9" s="31"/>
      <c r="U9" s="31"/>
      <c r="V9" s="31"/>
      <c r="W9" s="31"/>
      <c r="X9" s="31"/>
      <c r="Y9" s="45"/>
    </row>
    <row r="10" ht="20" customHeight="1">
      <c r="A10" s="40"/>
      <c r="B10" t="s" s="41">
        <v>26</v>
      </c>
      <c r="C10" s="123" cm="1">
        <f t="array" ref="C10">'SAMPLE - Monthly Profit &amp; Loss '!Q10</f>
        <v>91456.100000000006</v>
      </c>
      <c r="D10" s="47"/>
      <c r="E10" s="18"/>
      <c r="F10" s="18"/>
      <c r="G10" s="18"/>
      <c r="H10" s="18"/>
      <c r="I10" s="18"/>
      <c r="J10" s="18"/>
      <c r="K10" s="18"/>
      <c r="L10" s="18"/>
      <c r="M10" s="31"/>
      <c r="N10" s="31"/>
      <c r="O10" s="31"/>
      <c r="P10" s="31"/>
      <c r="Q10" s="31"/>
      <c r="R10" s="31"/>
      <c r="S10" s="31"/>
      <c r="T10" s="31"/>
      <c r="U10" s="31"/>
      <c r="V10" s="31"/>
      <c r="W10" s="31"/>
      <c r="X10" s="31"/>
      <c r="Y10" s="45"/>
    </row>
    <row r="11" ht="22" customHeight="1">
      <c r="A11" s="40"/>
      <c r="B11" t="s" s="48">
        <v>27</v>
      </c>
      <c r="C11" s="125" cm="1">
        <f t="array" ref="C11">'SAMPLE - Monthly Profit &amp; Loss '!Q11</f>
        <v>40368.88</v>
      </c>
      <c r="D11" s="39"/>
      <c r="E11" s="124"/>
      <c r="F11" s="18"/>
      <c r="G11" s="18"/>
      <c r="H11" s="18"/>
      <c r="I11" s="18"/>
      <c r="J11" s="18"/>
      <c r="K11" s="31"/>
      <c r="L11" s="31"/>
      <c r="M11" s="31"/>
      <c r="N11" s="31"/>
      <c r="O11" s="31"/>
      <c r="P11" s="31"/>
      <c r="Q11" s="31"/>
      <c r="R11" s="31"/>
      <c r="S11" s="31"/>
      <c r="T11" s="31"/>
      <c r="U11" s="31"/>
      <c r="V11" s="31"/>
      <c r="W11" s="31"/>
      <c r="X11" s="31"/>
      <c r="Y11" s="45"/>
    </row>
    <row r="12" ht="15" customHeight="1">
      <c r="A12" s="27"/>
      <c r="B12" s="28"/>
      <c r="C12" s="29"/>
      <c r="D12" s="31"/>
      <c r="E12" s="30"/>
      <c r="F12" s="18"/>
      <c r="G12" s="18"/>
      <c r="H12" s="18"/>
      <c r="I12" s="18"/>
      <c r="J12" s="18"/>
      <c r="K12" s="18"/>
      <c r="L12" s="18"/>
      <c r="M12" s="31"/>
      <c r="N12" s="31"/>
      <c r="O12" s="31"/>
      <c r="P12" s="31"/>
      <c r="Q12" s="31"/>
      <c r="R12" s="31"/>
      <c r="S12" s="31"/>
      <c r="T12" s="31"/>
      <c r="U12" s="31"/>
      <c r="V12" s="31"/>
      <c r="W12" s="31"/>
      <c r="X12" s="31"/>
      <c r="Y12" s="45"/>
    </row>
    <row r="13" ht="20" customHeight="1">
      <c r="A13" s="20"/>
      <c r="B13" t="s" s="66">
        <v>37</v>
      </c>
      <c r="C13" t="str" s="126" cm="1">
        <f t="array" ref="C13">'SAMPLE - Monthly Profit &amp; Loss '!Q24</f>
        <v>YTD</v>
      </c>
      <c r="D13" s="39"/>
      <c r="E13" s="24"/>
      <c r="F13" s="25"/>
      <c r="G13" s="25"/>
      <c r="H13" s="25"/>
      <c r="I13" s="25"/>
      <c r="J13" s="25"/>
      <c r="K13" s="25"/>
      <c r="L13" s="25"/>
      <c r="M13" s="31"/>
      <c r="N13" s="31"/>
      <c r="O13" s="31"/>
      <c r="P13" s="31"/>
      <c r="Q13" s="31"/>
      <c r="R13" s="31"/>
      <c r="S13" s="31"/>
      <c r="T13" s="31"/>
      <c r="U13" s="31"/>
      <c r="V13" s="31"/>
      <c r="W13" s="31"/>
      <c r="X13" s="31"/>
      <c r="Y13" s="45"/>
    </row>
    <row r="14" ht="20" customHeight="1">
      <c r="A14" s="40"/>
      <c r="B14" t="str" s="95" cm="1">
        <f t="array" ref="B14">'SAMPLE - Monthly Profit &amp; Loss '!B25</f>
        <v>Pack Essentiel</v>
      </c>
      <c r="C14" s="127" cm="1">
        <f t="array" ref="C14">'SAMPLE - Monthly Profit &amp; Loss '!Q25</f>
        <v>5637.18</v>
      </c>
      <c r="D14" s="39"/>
      <c r="E14" s="124"/>
      <c r="F14" s="18"/>
      <c r="G14" s="18"/>
      <c r="H14" s="18"/>
      <c r="I14" s="18"/>
      <c r="J14" s="18"/>
      <c r="K14" s="31"/>
      <c r="L14" s="31"/>
      <c r="M14" s="31"/>
      <c r="N14" s="31"/>
      <c r="O14" s="31"/>
      <c r="P14" s="31"/>
      <c r="Q14" s="31"/>
      <c r="R14" s="31"/>
      <c r="S14" s="31"/>
      <c r="T14" s="31"/>
      <c r="U14" s="31"/>
      <c r="V14" s="31"/>
      <c r="W14" s="31"/>
      <c r="X14" s="31"/>
      <c r="Y14" s="45"/>
    </row>
    <row r="15" ht="20" customHeight="1">
      <c r="A15" s="40"/>
      <c r="B15" t="str" s="95" cm="1">
        <f t="array" ref="B15">'SAMPLE - Monthly Profit &amp; Loss '!B26</f>
        <v>Pack Avantage</v>
      </c>
      <c r="C15" s="127" cm="1">
        <f t="array" ref="C15">'SAMPLE - Monthly Profit &amp; Loss '!Q26</f>
        <v>5215</v>
      </c>
      <c r="D15" s="39"/>
      <c r="E15" s="124"/>
      <c r="F15" s="18"/>
      <c r="G15" s="18"/>
      <c r="H15" s="18"/>
      <c r="I15" s="18"/>
      <c r="J15" s="18"/>
      <c r="K15" s="31"/>
      <c r="L15" s="31"/>
      <c r="M15" s="31"/>
      <c r="N15" s="31"/>
      <c r="O15" s="31"/>
      <c r="P15" s="31"/>
      <c r="Q15" s="31"/>
      <c r="R15" s="31"/>
      <c r="S15" s="31"/>
      <c r="T15" s="31"/>
      <c r="U15" s="31"/>
      <c r="V15" s="31"/>
      <c r="W15" s="31"/>
      <c r="X15" s="31"/>
      <c r="Y15" s="45"/>
    </row>
    <row r="16" ht="20" customHeight="1">
      <c r="A16" s="40"/>
      <c r="B16" t="str" s="95" cm="1">
        <f t="array" ref="B16">'SAMPLE - Monthly Profit &amp; Loss '!B27</f>
        <v>Pack Élite</v>
      </c>
      <c r="C16" s="127" cm="1">
        <f t="array" ref="C16">'SAMPLE - Monthly Profit &amp; Loss '!Q27</f>
        <v>3720</v>
      </c>
      <c r="D16" s="39"/>
      <c r="E16" s="124"/>
      <c r="F16" s="18"/>
      <c r="G16" s="18"/>
      <c r="H16" s="18"/>
      <c r="I16" s="18"/>
      <c r="J16" s="18"/>
      <c r="K16" s="31"/>
      <c r="L16" s="31"/>
      <c r="M16" s="31"/>
      <c r="N16" s="31"/>
      <c r="O16" s="31"/>
      <c r="P16" s="31"/>
      <c r="Q16" s="31"/>
      <c r="R16" s="31"/>
      <c r="S16" s="31"/>
      <c r="T16" s="31"/>
      <c r="U16" s="31"/>
      <c r="V16" s="31"/>
      <c r="W16" s="31"/>
      <c r="X16" s="31"/>
      <c r="Y16" s="45"/>
    </row>
    <row r="17" ht="20" customHeight="1">
      <c r="A17" s="40"/>
      <c r="B17" t="str" s="95" cm="1">
        <f t="array" ref="B17">'SAMPLE - Monthly Profit &amp; Loss '!B28</f>
        <v>VM Clash Royal</v>
      </c>
      <c r="C17" s="127" cm="1">
        <f t="array" ref="C17">'SAMPLE - Monthly Profit &amp; Loss '!Q28</f>
        <v>16480</v>
      </c>
      <c r="D17" s="39"/>
      <c r="E17" s="124"/>
      <c r="F17" s="18"/>
      <c r="G17" s="18"/>
      <c r="H17" s="18"/>
      <c r="I17" s="18"/>
      <c r="J17" s="18"/>
      <c r="K17" s="31"/>
      <c r="L17" s="31"/>
      <c r="M17" s="31"/>
      <c r="N17" s="31"/>
      <c r="O17" s="31"/>
      <c r="P17" s="31"/>
      <c r="Q17" s="31"/>
      <c r="R17" s="31"/>
      <c r="S17" s="31"/>
      <c r="T17" s="31"/>
      <c r="U17" s="31"/>
      <c r="V17" s="31"/>
      <c r="W17" s="31"/>
      <c r="X17" s="31"/>
      <c r="Y17" s="45"/>
    </row>
    <row r="18" ht="20" customHeight="1">
      <c r="A18" s="40"/>
      <c r="B18" t="str" s="95" cm="1">
        <f t="array" ref="B18">'SAMPLE - Monthly Profit &amp; Loss '!B29</f>
        <v>VM Call Of Duty</v>
      </c>
      <c r="C18" s="127" cm="1">
        <f t="array" ref="C18">'SAMPLE - Monthly Profit &amp; Loss '!Q29</f>
        <v>72600</v>
      </c>
      <c r="D18" s="39"/>
      <c r="E18" s="124"/>
      <c r="F18" s="18"/>
      <c r="G18" s="18"/>
      <c r="H18" s="18"/>
      <c r="I18" s="18"/>
      <c r="J18" s="18"/>
      <c r="K18" s="31"/>
      <c r="L18" s="31"/>
      <c r="M18" s="31"/>
      <c r="N18" s="31"/>
      <c r="O18" s="31"/>
      <c r="P18" s="31"/>
      <c r="Q18" s="31"/>
      <c r="R18" s="31"/>
      <c r="S18" s="31"/>
      <c r="T18" s="31"/>
      <c r="U18" s="31"/>
      <c r="V18" s="31"/>
      <c r="W18" s="31"/>
      <c r="X18" s="31"/>
      <c r="Y18" s="45"/>
    </row>
    <row r="19" ht="20" customHeight="1">
      <c r="A19" s="40"/>
      <c r="B19" t="str" s="95" cm="1">
        <f t="array" ref="B19">'SAMPLE - Monthly Profit &amp; Loss '!B30</f>
        <v>VM Overwatch 2</v>
      </c>
      <c r="C19" s="127" cm="1">
        <f t="array" ref="C19">'SAMPLE - Monthly Profit &amp; Loss '!Q30</f>
        <v>28172.8</v>
      </c>
      <c r="D19" s="39"/>
      <c r="E19" s="124"/>
      <c r="F19" s="18"/>
      <c r="G19" s="18"/>
      <c r="H19" s="18"/>
      <c r="I19" s="18"/>
      <c r="J19" s="18"/>
      <c r="K19" s="31"/>
      <c r="L19" s="31"/>
      <c r="M19" s="31"/>
      <c r="N19" s="31"/>
      <c r="O19" s="31"/>
      <c r="P19" s="31"/>
      <c r="Q19" s="31"/>
      <c r="R19" s="31"/>
      <c r="S19" s="31"/>
      <c r="T19" s="31"/>
      <c r="U19" s="31"/>
      <c r="V19" s="31"/>
      <c r="W19" s="31"/>
      <c r="X19" s="31"/>
      <c r="Y19" s="45"/>
    </row>
    <row r="20" ht="20" customHeight="1">
      <c r="A20" s="40"/>
      <c r="B20" s="95" cm="1">
        <f t="array" ref="B20">#REF!</f>
      </c>
      <c r="C20" s="127" cm="1">
        <f t="array" ref="C20">#REF!</f>
      </c>
      <c r="D20" s="39"/>
      <c r="E20" s="124"/>
      <c r="F20" s="18"/>
      <c r="G20" s="18"/>
      <c r="H20" s="18"/>
      <c r="I20" s="18"/>
      <c r="J20" s="18"/>
      <c r="K20" s="31"/>
      <c r="L20" s="31"/>
      <c r="M20" s="31"/>
      <c r="N20" s="31"/>
      <c r="O20" s="31"/>
      <c r="P20" s="31"/>
      <c r="Q20" s="31"/>
      <c r="R20" s="31"/>
      <c r="S20" s="31"/>
      <c r="T20" s="31"/>
      <c r="U20" s="31"/>
      <c r="V20" s="31"/>
      <c r="W20" s="31"/>
      <c r="X20" s="31"/>
      <c r="Y20" s="45"/>
    </row>
    <row r="21" ht="20" customHeight="1">
      <c r="A21" s="40"/>
      <c r="B21" s="95" cm="1">
        <f t="array" ref="B21">#REF!</f>
      </c>
      <c r="C21" s="127" cm="1">
        <f t="array" ref="C21">#REF!</f>
      </c>
      <c r="D21" s="39"/>
      <c r="E21" s="124"/>
      <c r="F21" s="18"/>
      <c r="G21" s="18"/>
      <c r="H21" s="18"/>
      <c r="I21" s="18"/>
      <c r="J21" s="18"/>
      <c r="K21" s="31"/>
      <c r="L21" s="31"/>
      <c r="M21" s="31"/>
      <c r="N21" s="31"/>
      <c r="O21" s="31"/>
      <c r="P21" s="31"/>
      <c r="Q21" s="31"/>
      <c r="R21" s="31"/>
      <c r="S21" s="31"/>
      <c r="T21" s="31"/>
      <c r="U21" s="31"/>
      <c r="V21" s="31"/>
      <c r="W21" s="31"/>
      <c r="X21" s="31"/>
      <c r="Y21" s="45"/>
    </row>
    <row r="22" ht="20" customHeight="1">
      <c r="A22" s="40"/>
      <c r="B22" t="s" s="72">
        <v>38</v>
      </c>
      <c r="C22" s="123" cm="1">
        <f t="array" ref="C22">'SAMPLE - Monthly Profit &amp; Loss '!Q31</f>
        <v>131824.98</v>
      </c>
      <c r="D22" s="39"/>
      <c r="E22" s="124"/>
      <c r="F22" s="18"/>
      <c r="G22" s="18"/>
      <c r="H22" s="18"/>
      <c r="I22" s="18"/>
      <c r="J22" s="18"/>
      <c r="K22" s="31"/>
      <c r="L22" s="31"/>
      <c r="M22" s="31"/>
      <c r="N22" s="31"/>
      <c r="O22" s="31"/>
      <c r="P22" s="31"/>
      <c r="Q22" s="31"/>
      <c r="R22" s="31"/>
      <c r="S22" s="31"/>
      <c r="T22" s="31"/>
      <c r="U22" s="31"/>
      <c r="V22" s="31"/>
      <c r="W22" s="31"/>
      <c r="X22" s="31"/>
      <c r="Y22" s="45"/>
    </row>
    <row r="23" ht="20" customHeight="1">
      <c r="A23" s="27"/>
      <c r="B23" s="74"/>
      <c r="C23" s="74"/>
      <c r="D23" s="31"/>
      <c r="E23" s="124"/>
      <c r="F23" s="18"/>
      <c r="G23" s="18"/>
      <c r="H23" s="18"/>
      <c r="I23" s="18"/>
      <c r="J23" s="18"/>
      <c r="K23" s="31"/>
      <c r="L23" s="31"/>
      <c r="M23" s="31"/>
      <c r="N23" s="31"/>
      <c r="O23" s="31"/>
      <c r="P23" s="31"/>
      <c r="Q23" s="31"/>
      <c r="R23" s="31"/>
      <c r="S23" s="31"/>
      <c r="T23" s="31"/>
      <c r="U23" s="31"/>
      <c r="V23" s="31"/>
      <c r="W23" s="31"/>
      <c r="X23" s="31"/>
      <c r="Y23" s="45"/>
    </row>
    <row r="24" ht="20" customHeight="1">
      <c r="A24" s="40"/>
      <c r="B24" t="s" s="66">
        <v>39</v>
      </c>
      <c r="C24" t="str" s="126" cm="1">
        <f t="array" ref="C24">'SAMPLE - Monthly Profit &amp; Loss '!Q33</f>
        <v>YTD</v>
      </c>
      <c r="D24" s="39"/>
      <c r="E24" s="124"/>
      <c r="F24" s="18"/>
      <c r="G24" s="18"/>
      <c r="H24" s="18"/>
      <c r="I24" s="18"/>
      <c r="J24" s="18"/>
      <c r="K24" s="31"/>
      <c r="L24" s="31"/>
      <c r="M24" s="31"/>
      <c r="N24" s="31"/>
      <c r="O24" s="31"/>
      <c r="P24" s="31"/>
      <c r="Q24" s="31"/>
      <c r="R24" s="31"/>
      <c r="S24" s="31"/>
      <c r="T24" s="31"/>
      <c r="U24" s="31"/>
      <c r="V24" s="31"/>
      <c r="W24" s="31"/>
      <c r="X24" s="31"/>
      <c r="Y24" s="45"/>
    </row>
    <row r="25" ht="20" customHeight="1">
      <c r="A25" s="77"/>
      <c r="B25" t="s" s="78">
        <v>147</v>
      </c>
      <c r="C25" s="128" cm="1">
        <f t="array" ref="C25">'SAMPLE - Monthly Profit &amp; Loss '!Q34</f>
        <v>0</v>
      </c>
      <c r="D25" s="39"/>
      <c r="E25" s="129"/>
      <c r="F25" s="82"/>
      <c r="G25" s="82"/>
      <c r="H25" s="82"/>
      <c r="I25" s="82"/>
      <c r="J25" s="82"/>
      <c r="K25" s="31"/>
      <c r="L25" s="31"/>
      <c r="M25" s="31"/>
      <c r="N25" s="31"/>
      <c r="O25" s="31"/>
      <c r="P25" s="31"/>
      <c r="Q25" s="31"/>
      <c r="R25" s="31"/>
      <c r="S25" s="31"/>
      <c r="T25" s="31"/>
      <c r="U25" s="31"/>
      <c r="V25" s="31"/>
      <c r="W25" s="31"/>
      <c r="X25" s="31"/>
      <c r="Y25" s="45"/>
    </row>
    <row r="26" ht="20" customHeight="1">
      <c r="A26" s="40"/>
      <c r="B26" t="s" s="78">
        <v>148</v>
      </c>
      <c r="C26" s="128" cm="1">
        <f t="array" ref="C26">'SAMPLE - Monthly Profit &amp; Loss '!Q35</f>
        <v>0</v>
      </c>
      <c r="D26" s="39"/>
      <c r="E26" s="124"/>
      <c r="F26" s="18"/>
      <c r="G26" s="18"/>
      <c r="H26" s="18"/>
      <c r="I26" s="18"/>
      <c r="J26" s="18"/>
      <c r="K26" s="31"/>
      <c r="L26" s="31"/>
      <c r="M26" s="31"/>
      <c r="N26" s="31"/>
      <c r="O26" s="31"/>
      <c r="P26" s="31"/>
      <c r="Q26" s="31"/>
      <c r="R26" s="31"/>
      <c r="S26" s="31"/>
      <c r="T26" s="31"/>
      <c r="U26" s="31"/>
      <c r="V26" s="31"/>
      <c r="W26" s="31"/>
      <c r="X26" s="31"/>
      <c r="Y26" s="45"/>
    </row>
    <row r="27" ht="20" customHeight="1">
      <c r="A27" s="13"/>
      <c r="B27" t="s" s="78">
        <v>149</v>
      </c>
      <c r="C27" s="128" cm="1">
        <f t="array" ref="C27">'SAMPLE - Monthly Profit &amp; Loss '!Q36</f>
        <v>0</v>
      </c>
      <c r="D27" s="39"/>
      <c r="E27" s="124"/>
      <c r="F27" s="83"/>
      <c r="G27" s="83"/>
      <c r="H27" s="83"/>
      <c r="I27" s="83"/>
      <c r="J27" s="83"/>
      <c r="K27" s="31"/>
      <c r="L27" s="31"/>
      <c r="M27" s="31"/>
      <c r="N27" s="31"/>
      <c r="O27" s="31"/>
      <c r="P27" s="31"/>
      <c r="Q27" s="31"/>
      <c r="R27" s="31"/>
      <c r="S27" s="31"/>
      <c r="T27" s="31"/>
      <c r="U27" s="31"/>
      <c r="V27" s="31"/>
      <c r="W27" s="31"/>
      <c r="X27" s="31"/>
      <c r="Y27" s="45"/>
    </row>
    <row r="28" ht="20" customHeight="1">
      <c r="A28" s="40"/>
      <c r="B28" t="s" s="72">
        <v>43</v>
      </c>
      <c r="C28" s="123" cm="1">
        <f t="array" ref="C28">'SAMPLE - Monthly Profit &amp; Loss '!Q37</f>
        <v>0</v>
      </c>
      <c r="D28" s="39"/>
      <c r="E28" s="124"/>
      <c r="F28" s="18"/>
      <c r="G28" s="18"/>
      <c r="H28" s="18"/>
      <c r="I28" s="18"/>
      <c r="J28" s="18"/>
      <c r="K28" s="31"/>
      <c r="L28" s="31"/>
      <c r="M28" s="31"/>
      <c r="N28" s="31"/>
      <c r="O28" s="31"/>
      <c r="P28" s="31"/>
      <c r="Q28" s="31"/>
      <c r="R28" s="31"/>
      <c r="S28" s="31"/>
      <c r="T28" s="31"/>
      <c r="U28" s="31"/>
      <c r="V28" s="31"/>
      <c r="W28" s="31"/>
      <c r="X28" s="31"/>
      <c r="Y28" s="45"/>
    </row>
    <row r="29" ht="20" customHeight="1">
      <c r="A29" s="27"/>
      <c r="B29" s="74"/>
      <c r="C29" s="74"/>
      <c r="D29" s="31"/>
      <c r="E29" s="124"/>
      <c r="F29" s="18"/>
      <c r="G29" s="18"/>
      <c r="H29" s="18"/>
      <c r="I29" s="18"/>
      <c r="J29" s="18"/>
      <c r="K29" s="31"/>
      <c r="L29" s="31"/>
      <c r="M29" s="31"/>
      <c r="N29" s="31"/>
      <c r="O29" s="31"/>
      <c r="P29" s="31"/>
      <c r="Q29" s="31"/>
      <c r="R29" s="31"/>
      <c r="S29" s="31"/>
      <c r="T29" s="31"/>
      <c r="U29" s="31"/>
      <c r="V29" s="31"/>
      <c r="W29" s="31"/>
      <c r="X29" s="31"/>
      <c r="Y29" s="45"/>
    </row>
    <row r="30" ht="20" customHeight="1">
      <c r="A30" s="40"/>
      <c r="B30" t="s" s="41">
        <v>44</v>
      </c>
      <c r="C30" s="123" cm="1">
        <f t="array" ref="C30">'SAMPLE - Monthly Profit &amp; Loss '!Q39</f>
        <v>131824.98</v>
      </c>
      <c r="D30" s="39"/>
      <c r="E30" s="124"/>
      <c r="F30" s="18"/>
      <c r="G30" s="18"/>
      <c r="H30" s="18"/>
      <c r="I30" s="18"/>
      <c r="J30" s="18"/>
      <c r="K30" s="31"/>
      <c r="L30" s="31"/>
      <c r="M30" s="31"/>
      <c r="N30" s="31"/>
      <c r="O30" s="31"/>
      <c r="P30" s="31"/>
      <c r="Q30" s="31"/>
      <c r="R30" s="31"/>
      <c r="S30" s="31"/>
      <c r="T30" s="31"/>
      <c r="U30" s="31"/>
      <c r="V30" s="31"/>
      <c r="W30" s="31"/>
      <c r="X30" s="31"/>
      <c r="Y30" s="45"/>
    </row>
    <row r="31" ht="20" customHeight="1">
      <c r="A31" s="27"/>
      <c r="B31" s="86"/>
      <c r="C31" s="87"/>
      <c r="D31" s="31"/>
      <c r="E31" s="124"/>
      <c r="F31" s="18"/>
      <c r="G31" s="18"/>
      <c r="H31" s="18"/>
      <c r="I31" s="18"/>
      <c r="J31" s="18"/>
      <c r="K31" s="31"/>
      <c r="L31" s="31"/>
      <c r="M31" s="31"/>
      <c r="N31" s="31"/>
      <c r="O31" s="31"/>
      <c r="P31" s="31"/>
      <c r="Q31" s="31"/>
      <c r="R31" s="31"/>
      <c r="S31" s="31"/>
      <c r="T31" s="31"/>
      <c r="U31" s="31"/>
      <c r="V31" s="31"/>
      <c r="W31" s="31"/>
      <c r="X31" s="31"/>
      <c r="Y31" s="45"/>
    </row>
    <row r="32" ht="20" customHeight="1">
      <c r="A32" s="40"/>
      <c r="B32" t="s" s="66">
        <v>45</v>
      </c>
      <c r="C32" s="91"/>
      <c r="D32" s="39"/>
      <c r="E32" s="124"/>
      <c r="F32" s="18"/>
      <c r="G32" s="18"/>
      <c r="H32" s="18"/>
      <c r="I32" s="18"/>
      <c r="J32" s="18"/>
      <c r="K32" s="31"/>
      <c r="L32" s="31"/>
      <c r="M32" s="31"/>
      <c r="N32" s="31"/>
      <c r="O32" s="31"/>
      <c r="P32" s="31"/>
      <c r="Q32" s="31"/>
      <c r="R32" s="31"/>
      <c r="S32" s="31"/>
      <c r="T32" s="31"/>
      <c r="U32" s="31"/>
      <c r="V32" s="31"/>
      <c r="W32" s="31"/>
      <c r="X32" s="31"/>
      <c r="Y32" s="45"/>
    </row>
    <row r="33" ht="20" customHeight="1">
      <c r="A33" s="40"/>
      <c r="B33" t="s" s="92">
        <v>150</v>
      </c>
      <c r="C33" t="str" s="126" cm="1">
        <f t="array" ref="C33">'SAMPLE - Monthly Profit &amp; Loss '!Q42</f>
        <v>YTD</v>
      </c>
      <c r="D33" s="39"/>
      <c r="E33" s="124"/>
      <c r="F33" s="18"/>
      <c r="G33" s="18"/>
      <c r="H33" s="18"/>
      <c r="I33" s="18"/>
      <c r="J33" s="18"/>
      <c r="K33" s="31"/>
      <c r="L33" s="31"/>
      <c r="M33" s="31"/>
      <c r="N33" s="31"/>
      <c r="O33" s="31"/>
      <c r="P33" s="31"/>
      <c r="Q33" s="31"/>
      <c r="R33" s="31"/>
      <c r="S33" s="31"/>
      <c r="T33" s="31"/>
      <c r="U33" s="31"/>
      <c r="V33" s="31"/>
      <c r="W33" s="31"/>
      <c r="X33" s="31"/>
      <c r="Y33" s="45"/>
    </row>
    <row r="34" ht="20" customHeight="1">
      <c r="A34" s="40"/>
      <c r="B34" t="str" s="95" cm="1">
        <f t="array" ref="B34">'SAMPLE - Monthly Profit &amp; Loss '!B43</f>
        <v>Luf</v>
      </c>
      <c r="C34" s="127" cm="1">
        <f t="array" ref="C34">'SAMPLE - Monthly Profit &amp; Loss '!Q43</f>
        <v>24000</v>
      </c>
      <c r="D34" s="47"/>
      <c r="E34" s="130"/>
      <c r="F34" s="18"/>
      <c r="G34" s="18"/>
      <c r="H34" s="18"/>
      <c r="I34" s="18"/>
      <c r="J34" s="18"/>
      <c r="K34" s="18"/>
      <c r="L34" s="18"/>
      <c r="M34" s="31"/>
      <c r="N34" s="31"/>
      <c r="O34" s="31"/>
      <c r="P34" s="31"/>
      <c r="Q34" s="31"/>
      <c r="R34" s="31"/>
      <c r="S34" s="31"/>
      <c r="T34" s="31"/>
      <c r="U34" s="31"/>
      <c r="V34" s="31"/>
      <c r="W34" s="31"/>
      <c r="X34" s="31"/>
      <c r="Y34" s="45"/>
    </row>
    <row r="35" ht="20" customHeight="1">
      <c r="A35" s="93"/>
      <c r="B35" t="str" s="95" cm="1">
        <f t="array" ref="B35">'SAMPLE - Monthly Profit &amp; Loss '!B44</f>
        <v>Gengis</v>
      </c>
      <c r="C35" s="127" cm="1">
        <f t="array" ref="C35">'SAMPLE - Monthly Profit &amp; Loss '!Q44</f>
        <v>0</v>
      </c>
      <c r="D35" s="39"/>
      <c r="E35" s="31"/>
      <c r="F35" s="31"/>
      <c r="G35" s="31"/>
      <c r="H35" s="31"/>
      <c r="I35" s="31"/>
      <c r="J35" s="31"/>
      <c r="K35" s="31"/>
      <c r="L35" s="31"/>
      <c r="M35" s="31"/>
      <c r="N35" s="31"/>
      <c r="O35" s="31"/>
      <c r="P35" s="31"/>
      <c r="Q35" s="31"/>
      <c r="R35" s="31"/>
      <c r="S35" s="31"/>
      <c r="T35" s="31"/>
      <c r="U35" s="31"/>
      <c r="V35" s="31"/>
      <c r="W35" s="31"/>
      <c r="X35" s="31"/>
      <c r="Y35" s="45"/>
    </row>
    <row r="36" ht="20" customHeight="1">
      <c r="A36" s="40"/>
      <c r="B36" t="str" s="95" cm="1">
        <f t="array" ref="B36">'SAMPLE - Monthly Profit &amp; Loss '!B45</f>
        <v>Other</v>
      </c>
      <c r="C36" s="127" cm="1">
        <f t="array" ref="C36">'SAMPLE - Monthly Profit &amp; Loss '!Q45</f>
        <v>0</v>
      </c>
      <c r="D36" s="47"/>
      <c r="E36" s="18"/>
      <c r="F36" s="18"/>
      <c r="G36" s="18"/>
      <c r="H36" s="18"/>
      <c r="I36" s="18"/>
      <c r="J36" s="18"/>
      <c r="K36" s="18"/>
      <c r="L36" s="18"/>
      <c r="M36" s="31"/>
      <c r="N36" s="31"/>
      <c r="O36" s="31"/>
      <c r="P36" s="31"/>
      <c r="Q36" s="31"/>
      <c r="R36" s="31"/>
      <c r="S36" s="31"/>
      <c r="T36" s="31"/>
      <c r="U36" s="31"/>
      <c r="V36" s="31"/>
      <c r="W36" s="31"/>
      <c r="X36" s="31"/>
      <c r="Y36" s="45"/>
    </row>
    <row r="37" ht="20" customHeight="1">
      <c r="A37" s="40"/>
      <c r="B37" t="str" s="95" cm="1">
        <f t="array" ref="B37">'SAMPLE - Monthly Profit &amp; Loss '!B46</f>
        <v>Other</v>
      </c>
      <c r="C37" s="127" cm="1">
        <f t="array" ref="C37">'SAMPLE - Monthly Profit &amp; Loss '!Q46</f>
        <v>0</v>
      </c>
      <c r="D37" s="39"/>
      <c r="E37" s="18"/>
      <c r="F37" s="18"/>
      <c r="G37" s="18"/>
      <c r="H37" s="18"/>
      <c r="I37" s="18"/>
      <c r="J37" s="18"/>
      <c r="K37" s="18"/>
      <c r="L37" s="18"/>
      <c r="M37" s="31"/>
      <c r="N37" s="31"/>
      <c r="O37" s="31"/>
      <c r="P37" s="31"/>
      <c r="Q37" s="31"/>
      <c r="R37" s="31"/>
      <c r="S37" s="31"/>
      <c r="T37" s="31"/>
      <c r="U37" s="31"/>
      <c r="V37" s="31"/>
      <c r="W37" s="31"/>
      <c r="X37" s="31"/>
      <c r="Y37" s="45"/>
    </row>
    <row r="38" ht="20" customHeight="1">
      <c r="A38" s="40"/>
      <c r="B38" t="str" s="95" cm="1">
        <f t="array" ref="B38">'SAMPLE - Monthly Profit &amp; Loss '!B47</f>
        <v>Other</v>
      </c>
      <c r="C38" s="127" cm="1">
        <f t="array" ref="C38">'SAMPLE - Monthly Profit &amp; Loss '!Q47</f>
        <v>0</v>
      </c>
      <c r="D38" s="39"/>
      <c r="E38" s="18"/>
      <c r="F38" s="18"/>
      <c r="G38" s="18"/>
      <c r="H38" s="18"/>
      <c r="I38" s="18"/>
      <c r="J38" s="18"/>
      <c r="K38" s="18"/>
      <c r="L38" s="18"/>
      <c r="M38" s="31"/>
      <c r="N38" s="31"/>
      <c r="O38" s="31"/>
      <c r="P38" s="31"/>
      <c r="Q38" s="31"/>
      <c r="R38" s="31"/>
      <c r="S38" s="31"/>
      <c r="T38" s="31"/>
      <c r="U38" s="31"/>
      <c r="V38" s="31"/>
      <c r="W38" s="31"/>
      <c r="X38" s="31"/>
      <c r="Y38" s="45"/>
    </row>
    <row r="39" ht="20" customHeight="1">
      <c r="A39" s="40"/>
      <c r="B39" t="str" s="95" cm="1">
        <f t="array" ref="B39">'SAMPLE - Monthly Profit &amp; Loss '!B48</f>
        <v>Other</v>
      </c>
      <c r="C39" s="127" cm="1">
        <f t="array" ref="C39">'SAMPLE - Monthly Profit &amp; Loss '!Q48</f>
        <v>0</v>
      </c>
      <c r="D39" s="47"/>
      <c r="E39" s="130"/>
      <c r="F39" s="18"/>
      <c r="G39" s="18"/>
      <c r="H39" s="18"/>
      <c r="I39" s="18"/>
      <c r="J39" s="18"/>
      <c r="K39" s="18"/>
      <c r="L39" s="18"/>
      <c r="M39" s="31"/>
      <c r="N39" s="31"/>
      <c r="O39" s="31"/>
      <c r="P39" s="31"/>
      <c r="Q39" s="31"/>
      <c r="R39" s="31"/>
      <c r="S39" s="31"/>
      <c r="T39" s="31"/>
      <c r="U39" s="31"/>
      <c r="V39" s="31"/>
      <c r="W39" s="31"/>
      <c r="X39" s="31"/>
      <c r="Y39" s="45"/>
    </row>
    <row r="40" ht="20" customHeight="1">
      <c r="A40" s="93"/>
      <c r="B40" t="str" s="95" cm="1">
        <f t="array" ref="B40">'SAMPLE - Monthly Profit &amp; Loss '!B49</f>
        <v>Other</v>
      </c>
      <c r="C40" s="127" cm="1">
        <f t="array" ref="C40">'SAMPLE - Monthly Profit &amp; Loss '!Q49</f>
        <v>0</v>
      </c>
      <c r="D40" s="39"/>
      <c r="E40" s="31"/>
      <c r="F40" s="31"/>
      <c r="G40" s="31"/>
      <c r="H40" s="31"/>
      <c r="I40" s="31"/>
      <c r="J40" s="31"/>
      <c r="K40" s="31"/>
      <c r="L40" s="31"/>
      <c r="M40" s="31"/>
      <c r="N40" s="31"/>
      <c r="O40" s="31"/>
      <c r="P40" s="31"/>
      <c r="Q40" s="31"/>
      <c r="R40" s="31"/>
      <c r="S40" s="31"/>
      <c r="T40" s="31"/>
      <c r="U40" s="31"/>
      <c r="V40" s="31"/>
      <c r="W40" s="31"/>
      <c r="X40" s="31"/>
      <c r="Y40" s="45"/>
    </row>
    <row r="41" ht="20" customHeight="1">
      <c r="A41" s="40"/>
      <c r="B41" t="str" s="95" cm="1">
        <f t="array" ref="B41">'SAMPLE - Monthly Profit &amp; Loss '!B50</f>
        <v>Other</v>
      </c>
      <c r="C41" s="127" cm="1">
        <f t="array" ref="C41">'SAMPLE - Monthly Profit &amp; Loss '!Q50</f>
        <v>0</v>
      </c>
      <c r="D41" s="47"/>
      <c r="E41" s="18"/>
      <c r="F41" s="18"/>
      <c r="G41" s="18"/>
      <c r="H41" s="18"/>
      <c r="I41" s="18"/>
      <c r="J41" s="18"/>
      <c r="K41" s="18"/>
      <c r="L41" s="18"/>
      <c r="M41" s="31"/>
      <c r="N41" s="31"/>
      <c r="O41" s="31"/>
      <c r="P41" s="31"/>
      <c r="Q41" s="31"/>
      <c r="R41" s="31"/>
      <c r="S41" s="31"/>
      <c r="T41" s="31"/>
      <c r="U41" s="31"/>
      <c r="V41" s="31"/>
      <c r="W41" s="31"/>
      <c r="X41" s="31"/>
      <c r="Y41" s="45"/>
    </row>
    <row r="42" ht="20" customHeight="1">
      <c r="A42" s="40"/>
      <c r="B42" t="str" s="95" cm="1">
        <f t="array" ref="B42">'SAMPLE - Monthly Profit &amp; Loss '!B51</f>
        <v>Other</v>
      </c>
      <c r="C42" s="127" cm="1">
        <f t="array" ref="C42">'SAMPLE - Monthly Profit &amp; Loss '!Q51</f>
        <v>0</v>
      </c>
      <c r="D42" s="39"/>
      <c r="E42" s="18"/>
      <c r="F42" s="18"/>
      <c r="G42" s="18"/>
      <c r="H42" s="18"/>
      <c r="I42" s="18"/>
      <c r="J42" s="18"/>
      <c r="K42" s="18"/>
      <c r="L42" s="18"/>
      <c r="M42" s="31"/>
      <c r="N42" s="31"/>
      <c r="O42" s="31"/>
      <c r="P42" s="31"/>
      <c r="Q42" s="31"/>
      <c r="R42" s="31"/>
      <c r="S42" s="31"/>
      <c r="T42" s="31"/>
      <c r="U42" s="31"/>
      <c r="V42" s="31"/>
      <c r="W42" s="31"/>
      <c r="X42" s="31"/>
      <c r="Y42" s="45"/>
    </row>
    <row r="43" ht="20" customHeight="1">
      <c r="A43" s="40"/>
      <c r="B43" t="str" s="95" cm="1">
        <f t="array" ref="B43">'SAMPLE - Monthly Profit &amp; Loss '!B52</f>
        <v>Other</v>
      </c>
      <c r="C43" s="127" cm="1">
        <f t="array" ref="C43">'SAMPLE - Monthly Profit &amp; Loss '!Q52</f>
        <v>0</v>
      </c>
      <c r="D43" s="39"/>
      <c r="E43" s="18"/>
      <c r="F43" s="18"/>
      <c r="G43" s="18"/>
      <c r="H43" s="18"/>
      <c r="I43" s="18"/>
      <c r="J43" s="18"/>
      <c r="K43" s="18"/>
      <c r="L43" s="18"/>
      <c r="M43" s="31"/>
      <c r="N43" s="31"/>
      <c r="O43" s="31"/>
      <c r="P43" s="31"/>
      <c r="Q43" s="31"/>
      <c r="R43" s="31"/>
      <c r="S43" s="31"/>
      <c r="T43" s="31"/>
      <c r="U43" s="31"/>
      <c r="V43" s="31"/>
      <c r="W43" s="31"/>
      <c r="X43" s="31"/>
      <c r="Y43" s="45"/>
    </row>
    <row r="44" ht="20" customHeight="1">
      <c r="A44" s="40"/>
      <c r="B44" t="str" s="95" cm="1">
        <f t="array" ref="B44">'SAMPLE - Monthly Profit &amp; Loss '!B53</f>
        <v>Other</v>
      </c>
      <c r="C44" s="127" cm="1">
        <f t="array" ref="C44">'SAMPLE - Monthly Profit &amp; Loss '!Q53</f>
        <v>0</v>
      </c>
      <c r="D44" s="39"/>
      <c r="E44" s="18"/>
      <c r="F44" s="18"/>
      <c r="G44" s="18"/>
      <c r="H44" s="18"/>
      <c r="I44" s="18"/>
      <c r="J44" s="18"/>
      <c r="K44" s="18"/>
      <c r="L44" s="18"/>
      <c r="M44" s="31"/>
      <c r="N44" s="31"/>
      <c r="O44" s="31"/>
      <c r="P44" s="31"/>
      <c r="Q44" s="31"/>
      <c r="R44" s="31"/>
      <c r="S44" s="31"/>
      <c r="T44" s="31"/>
      <c r="U44" s="31"/>
      <c r="V44" s="31"/>
      <c r="W44" s="31"/>
      <c r="X44" s="31"/>
      <c r="Y44" s="45"/>
    </row>
    <row r="45" ht="20" customHeight="1">
      <c r="A45" s="40"/>
      <c r="B45" t="str" s="95" cm="1">
        <f t="array" ref="B45">'SAMPLE - Monthly Profit &amp; Loss '!B54</f>
        <v>Other</v>
      </c>
      <c r="C45" s="127" cm="1">
        <f t="array" ref="C45">'SAMPLE - Monthly Profit &amp; Loss '!Q54</f>
        <v>0</v>
      </c>
      <c r="D45" s="39"/>
      <c r="E45" s="18"/>
      <c r="F45" s="18"/>
      <c r="G45" s="18"/>
      <c r="H45" s="18"/>
      <c r="I45" s="18"/>
      <c r="J45" s="18"/>
      <c r="K45" s="18"/>
      <c r="L45" s="18"/>
      <c r="M45" s="31"/>
      <c r="N45" s="31"/>
      <c r="O45" s="31"/>
      <c r="P45" s="31"/>
      <c r="Q45" s="31"/>
      <c r="R45" s="31"/>
      <c r="S45" s="31"/>
      <c r="T45" s="31"/>
      <c r="U45" s="31"/>
      <c r="V45" s="31"/>
      <c r="W45" s="31"/>
      <c r="X45" s="31"/>
      <c r="Y45" s="45"/>
    </row>
    <row r="46" ht="20" customHeight="1">
      <c r="A46" s="40"/>
      <c r="B46" t="str" s="95" cm="1">
        <f t="array" ref="B46">'SAMPLE - Monthly Profit &amp; Loss '!B55</f>
        <v>Other</v>
      </c>
      <c r="C46" s="127" cm="1">
        <f t="array" ref="C46">'SAMPLE - Monthly Profit &amp; Loss '!Q55</f>
        <v>0</v>
      </c>
      <c r="D46" s="39"/>
      <c r="E46" s="18"/>
      <c r="F46" s="18"/>
      <c r="G46" s="18"/>
      <c r="H46" s="18"/>
      <c r="I46" s="18"/>
      <c r="J46" s="18"/>
      <c r="K46" s="18"/>
      <c r="L46" s="18"/>
      <c r="M46" s="31"/>
      <c r="N46" s="31"/>
      <c r="O46" s="31"/>
      <c r="P46" s="31"/>
      <c r="Q46" s="31"/>
      <c r="R46" s="31"/>
      <c r="S46" s="31"/>
      <c r="T46" s="31"/>
      <c r="U46" s="31"/>
      <c r="V46" s="31"/>
      <c r="W46" s="31"/>
      <c r="X46" s="31"/>
      <c r="Y46" s="45"/>
    </row>
    <row r="47" ht="20" customHeight="1">
      <c r="A47" s="40"/>
      <c r="B47" t="str" s="95" cm="1">
        <f t="array" ref="B47">'SAMPLE - Monthly Profit &amp; Loss '!B56</f>
        <v>Other</v>
      </c>
      <c r="C47" s="127" cm="1">
        <f t="array" ref="C47">'SAMPLE - Monthly Profit &amp; Loss '!Q56</f>
        <v>0</v>
      </c>
      <c r="D47" s="39"/>
      <c r="E47" s="18"/>
      <c r="F47" s="18"/>
      <c r="G47" s="18"/>
      <c r="H47" s="18"/>
      <c r="I47" s="18"/>
      <c r="J47" s="18"/>
      <c r="K47" s="18"/>
      <c r="L47" s="18"/>
      <c r="M47" s="31"/>
      <c r="N47" s="31"/>
      <c r="O47" s="31"/>
      <c r="P47" s="31"/>
      <c r="Q47" s="31"/>
      <c r="R47" s="31"/>
      <c r="S47" s="31"/>
      <c r="T47" s="31"/>
      <c r="U47" s="31"/>
      <c r="V47" s="31"/>
      <c r="W47" s="31"/>
      <c r="X47" s="31"/>
      <c r="Y47" s="45"/>
    </row>
    <row r="48" ht="20" customHeight="1">
      <c r="A48" s="40"/>
      <c r="B48" t="str" s="95" cm="1">
        <f t="array" ref="B48">'SAMPLE - Monthly Profit &amp; Loss '!B57</f>
        <v>Other</v>
      </c>
      <c r="C48" s="127" cm="1">
        <f t="array" ref="C48">'SAMPLE - Monthly Profit &amp; Loss '!Q57</f>
        <v>0</v>
      </c>
      <c r="D48" s="39"/>
      <c r="E48" s="18"/>
      <c r="F48" s="18"/>
      <c r="G48" s="18"/>
      <c r="H48" s="18"/>
      <c r="I48" s="18"/>
      <c r="J48" s="18"/>
      <c r="K48" s="18"/>
      <c r="L48" s="18"/>
      <c r="M48" s="31"/>
      <c r="N48" s="31"/>
      <c r="O48" s="31"/>
      <c r="P48" s="31"/>
      <c r="Q48" s="31"/>
      <c r="R48" s="31"/>
      <c r="S48" s="31"/>
      <c r="T48" s="31"/>
      <c r="U48" s="31"/>
      <c r="V48" s="31"/>
      <c r="W48" s="31"/>
      <c r="X48" s="31"/>
      <c r="Y48" s="45"/>
    </row>
    <row r="49" ht="20" customHeight="1">
      <c r="A49" s="40"/>
      <c r="B49" t="s" s="72">
        <v>51</v>
      </c>
      <c r="C49" s="123" cm="1">
        <f t="array" ref="C49">'SAMPLE - Monthly Profit &amp; Loss '!Q58</f>
        <v>24000</v>
      </c>
      <c r="D49" s="47"/>
      <c r="E49" s="18"/>
      <c r="F49" s="18"/>
      <c r="G49" s="18"/>
      <c r="H49" s="18"/>
      <c r="I49" s="18"/>
      <c r="J49" s="18"/>
      <c r="K49" s="18"/>
      <c r="L49" s="18"/>
      <c r="M49" s="31"/>
      <c r="N49" s="31"/>
      <c r="O49" s="31"/>
      <c r="P49" s="31"/>
      <c r="Q49" s="31"/>
      <c r="R49" s="31"/>
      <c r="S49" s="31"/>
      <c r="T49" s="31"/>
      <c r="U49" s="31"/>
      <c r="V49" s="31"/>
      <c r="W49" s="31"/>
      <c r="X49" s="31"/>
      <c r="Y49" s="45"/>
    </row>
    <row r="50" ht="20" customHeight="1">
      <c r="A50" s="27"/>
      <c r="B50" s="97"/>
      <c r="C50" s="97"/>
      <c r="D50" s="18"/>
      <c r="E50" s="18"/>
      <c r="F50" s="18"/>
      <c r="G50" s="18"/>
      <c r="H50" s="18"/>
      <c r="I50" s="18"/>
      <c r="J50" s="18"/>
      <c r="K50" s="18"/>
      <c r="L50" s="18"/>
      <c r="M50" s="31"/>
      <c r="N50" s="31"/>
      <c r="O50" s="31"/>
      <c r="P50" s="31"/>
      <c r="Q50" s="31"/>
      <c r="R50" s="31"/>
      <c r="S50" s="31"/>
      <c r="T50" s="31"/>
      <c r="U50" s="31"/>
      <c r="V50" s="31"/>
      <c r="W50" s="31"/>
      <c r="X50" s="31"/>
      <c r="Y50" s="45"/>
    </row>
    <row r="51" ht="20" customHeight="1">
      <c r="A51" s="40"/>
      <c r="B51" t="s" s="92">
        <v>154</v>
      </c>
      <c r="C51" t="str" s="126" cm="1">
        <f t="array" ref="C51">'SAMPLE - Monthly Profit &amp; Loss '!Q60</f>
        <v>YTD</v>
      </c>
      <c r="D51" s="47"/>
      <c r="E51" s="18"/>
      <c r="F51" s="18"/>
      <c r="G51" s="18"/>
      <c r="H51" s="18"/>
      <c r="I51" s="18"/>
      <c r="J51" s="18"/>
      <c r="K51" s="18"/>
      <c r="L51" s="18"/>
      <c r="M51" s="31"/>
      <c r="N51" s="31"/>
      <c r="O51" s="31"/>
      <c r="P51" s="31"/>
      <c r="Q51" s="31"/>
      <c r="R51" s="31"/>
      <c r="S51" s="31"/>
      <c r="T51" s="31"/>
      <c r="U51" s="31"/>
      <c r="V51" s="31"/>
      <c r="W51" s="31"/>
      <c r="X51" s="31"/>
      <c r="Y51" s="45"/>
    </row>
    <row r="52" ht="20" customHeight="1">
      <c r="A52" s="40"/>
      <c r="B52" t="s" s="68">
        <v>155</v>
      </c>
      <c r="C52" s="127" cm="1">
        <f t="array" ref="C52">'SAMPLE - Monthly Profit &amp; Loss '!Q61</f>
        <v>6169.7</v>
      </c>
      <c r="D52" s="47"/>
      <c r="E52" s="18"/>
      <c r="F52" s="18"/>
      <c r="G52" s="18"/>
      <c r="H52" s="18"/>
      <c r="I52" s="18"/>
      <c r="J52" s="18"/>
      <c r="K52" s="18"/>
      <c r="L52" s="18"/>
      <c r="M52" s="31"/>
      <c r="N52" s="31"/>
      <c r="O52" s="31"/>
      <c r="P52" s="31"/>
      <c r="Q52" s="31"/>
      <c r="R52" s="31"/>
      <c r="S52" s="31"/>
      <c r="T52" s="31"/>
      <c r="U52" s="31"/>
      <c r="V52" s="31"/>
      <c r="W52" s="31"/>
      <c r="X52" s="31"/>
      <c r="Y52" s="45"/>
    </row>
    <row r="53" ht="20" customHeight="1">
      <c r="A53" s="40"/>
      <c r="B53" t="s" s="68">
        <v>156</v>
      </c>
      <c r="C53" s="127" cm="1">
        <f t="array" ref="C53">'SAMPLE - Monthly Profit &amp; Loss '!Q62</f>
        <v>25804.8</v>
      </c>
      <c r="D53" s="47"/>
      <c r="E53" s="18"/>
      <c r="F53" s="18"/>
      <c r="G53" s="18"/>
      <c r="H53" s="18"/>
      <c r="I53" s="18"/>
      <c r="J53" s="18"/>
      <c r="K53" s="18"/>
      <c r="L53" s="18"/>
      <c r="M53" s="31"/>
      <c r="N53" s="31"/>
      <c r="O53" s="31"/>
      <c r="P53" s="31"/>
      <c r="Q53" s="31"/>
      <c r="R53" s="31"/>
      <c r="S53" s="31"/>
      <c r="T53" s="31"/>
      <c r="U53" s="31"/>
      <c r="V53" s="31"/>
      <c r="W53" s="31"/>
      <c r="X53" s="31"/>
      <c r="Y53" s="45"/>
    </row>
    <row r="54" ht="20" customHeight="1">
      <c r="A54" s="40"/>
      <c r="B54" t="s" s="68">
        <v>157</v>
      </c>
      <c r="C54" s="127" cm="1">
        <f t="array" ref="C54">'SAMPLE - Monthly Profit &amp; Loss '!Q63</f>
        <v>35481.6</v>
      </c>
      <c r="D54" s="47"/>
      <c r="E54" s="18"/>
      <c r="F54" s="18"/>
      <c r="G54" s="18"/>
      <c r="H54" s="18"/>
      <c r="I54" s="18"/>
      <c r="J54" s="18"/>
      <c r="K54" s="18"/>
      <c r="L54" s="18"/>
      <c r="M54" s="31"/>
      <c r="N54" s="31"/>
      <c r="O54" s="31"/>
      <c r="P54" s="31"/>
      <c r="Q54" s="31"/>
      <c r="R54" s="31"/>
      <c r="S54" s="31"/>
      <c r="T54" s="31"/>
      <c r="U54" s="31"/>
      <c r="V54" s="31"/>
      <c r="W54" s="31"/>
      <c r="X54" s="31"/>
      <c r="Y54" s="45"/>
    </row>
    <row r="55" ht="20" customHeight="1">
      <c r="A55" s="40"/>
      <c r="B55" t="s" s="68">
        <v>158</v>
      </c>
      <c r="C55" s="127" cm="1">
        <f t="array" ref="C55">'SAMPLE - Monthly Profit &amp; Loss '!Q64</f>
        <v>0</v>
      </c>
      <c r="D55" s="47"/>
      <c r="E55" s="18"/>
      <c r="F55" s="18"/>
      <c r="G55" s="18"/>
      <c r="H55" s="18"/>
      <c r="I55" s="18"/>
      <c r="J55" s="18"/>
      <c r="K55" s="18"/>
      <c r="L55" s="18"/>
      <c r="M55" s="31"/>
      <c r="N55" s="31"/>
      <c r="O55" s="31"/>
      <c r="P55" s="31"/>
      <c r="Q55" s="31"/>
      <c r="R55" s="31"/>
      <c r="S55" s="31"/>
      <c r="T55" s="31"/>
      <c r="U55" s="31"/>
      <c r="V55" s="31"/>
      <c r="W55" s="31"/>
      <c r="X55" s="31"/>
      <c r="Y55" s="45"/>
    </row>
    <row r="56" ht="20" customHeight="1">
      <c r="A56" s="40"/>
      <c r="B56" t="s" s="68">
        <v>50</v>
      </c>
      <c r="C56" s="127" cm="1">
        <f t="array" ref="C56">'SAMPLE - Monthly Profit &amp; Loss '!Q65</f>
        <v>0</v>
      </c>
      <c r="D56" s="47"/>
      <c r="E56" s="18"/>
      <c r="F56" s="18"/>
      <c r="G56" s="18"/>
      <c r="H56" s="18"/>
      <c r="I56" s="18"/>
      <c r="J56" s="18"/>
      <c r="K56" s="18"/>
      <c r="L56" s="18"/>
      <c r="M56" s="31"/>
      <c r="N56" s="31"/>
      <c r="O56" s="31"/>
      <c r="P56" s="31"/>
      <c r="Q56" s="31"/>
      <c r="R56" s="31"/>
      <c r="S56" s="31"/>
      <c r="T56" s="31"/>
      <c r="U56" s="31"/>
      <c r="V56" s="31"/>
      <c r="W56" s="31"/>
      <c r="X56" s="31"/>
      <c r="Y56" s="45"/>
    </row>
    <row r="57" ht="20" customHeight="1">
      <c r="A57" s="40"/>
      <c r="B57" s="98"/>
      <c r="C57" s="123" cm="1">
        <f t="array" ref="C57">'SAMPLE - Monthly Profit &amp; Loss '!Q66</f>
        <v>67456.100000000006</v>
      </c>
      <c r="D57" s="47"/>
      <c r="E57" s="18"/>
      <c r="F57" s="18"/>
      <c r="G57" s="18"/>
      <c r="H57" s="18"/>
      <c r="I57" s="18"/>
      <c r="J57" s="18"/>
      <c r="K57" s="18"/>
      <c r="L57" s="18"/>
      <c r="M57" s="31"/>
      <c r="N57" s="31"/>
      <c r="O57" s="31"/>
      <c r="P57" s="31"/>
      <c r="Q57" s="31"/>
      <c r="R57" s="31"/>
      <c r="S57" s="31"/>
      <c r="T57" s="31"/>
      <c r="U57" s="31"/>
      <c r="V57" s="31"/>
      <c r="W57" s="31"/>
      <c r="X57" s="31"/>
      <c r="Y57" s="45"/>
    </row>
    <row r="58" ht="20" customHeight="1">
      <c r="A58" s="27"/>
      <c r="B58" s="97"/>
      <c r="C58" s="97"/>
      <c r="D58" s="18"/>
      <c r="E58" s="18"/>
      <c r="F58" s="18"/>
      <c r="G58" s="18"/>
      <c r="H58" s="18"/>
      <c r="I58" s="18"/>
      <c r="J58" s="18"/>
      <c r="K58" s="18"/>
      <c r="L58" s="18"/>
      <c r="M58" s="31"/>
      <c r="N58" s="31"/>
      <c r="O58" s="31"/>
      <c r="P58" s="31"/>
      <c r="Q58" s="31"/>
      <c r="R58" s="31"/>
      <c r="S58" s="31"/>
      <c r="T58" s="31"/>
      <c r="U58" s="31"/>
      <c r="V58" s="31"/>
      <c r="W58" s="31"/>
      <c r="X58" s="31"/>
      <c r="Y58" s="45"/>
    </row>
    <row r="59" ht="20" customHeight="1">
      <c r="A59" s="40"/>
      <c r="B59" t="s" s="92">
        <v>60</v>
      </c>
      <c r="C59" t="str" s="126" cm="1">
        <f t="array" ref="C59">'SAMPLE - Monthly Profit &amp; Loss '!Q68</f>
        <v>YTD</v>
      </c>
      <c r="D59" s="47"/>
      <c r="E59" s="18"/>
      <c r="F59" s="18"/>
      <c r="G59" s="18"/>
      <c r="H59" s="18"/>
      <c r="I59" s="18"/>
      <c r="J59" s="18"/>
      <c r="K59" s="18"/>
      <c r="L59" s="18"/>
      <c r="M59" s="31"/>
      <c r="N59" s="31"/>
      <c r="O59" s="31"/>
      <c r="P59" s="31"/>
      <c r="Q59" s="31"/>
      <c r="R59" s="31"/>
      <c r="S59" s="31"/>
      <c r="T59" s="31"/>
      <c r="U59" s="31"/>
      <c r="V59" s="31"/>
      <c r="W59" s="31"/>
      <c r="X59" s="31"/>
      <c r="Y59" s="45"/>
    </row>
    <row r="60" ht="20" customHeight="1">
      <c r="A60" s="40"/>
      <c r="B60" t="s" s="68">
        <v>159</v>
      </c>
      <c r="C60" s="127" cm="1">
        <f t="array" ref="C60">'SAMPLE - Monthly Profit &amp; Loss '!Q69</f>
        <v>0</v>
      </c>
      <c r="D60" s="47"/>
      <c r="E60" s="18"/>
      <c r="F60" s="18"/>
      <c r="G60" s="18"/>
      <c r="H60" s="18"/>
      <c r="I60" s="18"/>
      <c r="J60" s="18"/>
      <c r="K60" s="18"/>
      <c r="L60" s="18"/>
      <c r="M60" s="31"/>
      <c r="N60" s="31"/>
      <c r="O60" s="31"/>
      <c r="P60" s="31"/>
      <c r="Q60" s="31"/>
      <c r="R60" s="31"/>
      <c r="S60" s="31"/>
      <c r="T60" s="31"/>
      <c r="U60" s="31"/>
      <c r="V60" s="31"/>
      <c r="W60" s="31"/>
      <c r="X60" s="31"/>
      <c r="Y60" s="45"/>
    </row>
    <row r="61" ht="20" customHeight="1">
      <c r="A61" s="40"/>
      <c r="B61" t="s" s="68">
        <v>160</v>
      </c>
      <c r="C61" s="127" cm="1">
        <f t="array" ref="C61">'SAMPLE - Monthly Profit &amp; Loss '!Q70</f>
        <v>0</v>
      </c>
      <c r="D61" s="47"/>
      <c r="E61" s="18"/>
      <c r="F61" s="18"/>
      <c r="G61" s="18"/>
      <c r="H61" s="18"/>
      <c r="I61" s="18"/>
      <c r="J61" s="18"/>
      <c r="K61" s="18"/>
      <c r="L61" s="18"/>
      <c r="M61" s="31"/>
      <c r="N61" s="31"/>
      <c r="O61" s="31"/>
      <c r="P61" s="31"/>
      <c r="Q61" s="31"/>
      <c r="R61" s="31"/>
      <c r="S61" s="31"/>
      <c r="T61" s="31"/>
      <c r="U61" s="31"/>
      <c r="V61" s="31"/>
      <c r="W61" s="31"/>
      <c r="X61" s="31"/>
      <c r="Y61" s="45"/>
    </row>
    <row r="62" ht="20" customHeight="1">
      <c r="A62" s="40"/>
      <c r="B62" t="s" s="68">
        <v>161</v>
      </c>
      <c r="C62" s="127" cm="1">
        <f t="array" ref="C62">'SAMPLE - Monthly Profit &amp; Loss '!Q71</f>
        <v>0</v>
      </c>
      <c r="D62" s="47"/>
      <c r="E62" s="18"/>
      <c r="F62" s="18"/>
      <c r="G62" s="18"/>
      <c r="H62" s="18"/>
      <c r="I62" s="18"/>
      <c r="J62" s="18"/>
      <c r="K62" s="18"/>
      <c r="L62" s="18"/>
      <c r="M62" s="31"/>
      <c r="N62" s="31"/>
      <c r="O62" s="31"/>
      <c r="P62" s="31"/>
      <c r="Q62" s="31"/>
      <c r="R62" s="31"/>
      <c r="S62" s="31"/>
      <c r="T62" s="31"/>
      <c r="U62" s="31"/>
      <c r="V62" s="31"/>
      <c r="W62" s="31"/>
      <c r="X62" s="31"/>
      <c r="Y62" s="45"/>
    </row>
    <row r="63" ht="20" customHeight="1">
      <c r="A63" s="40"/>
      <c r="B63" t="s" s="68">
        <v>64</v>
      </c>
      <c r="C63" s="127" cm="1">
        <f t="array" ref="C63">'SAMPLE - Monthly Profit &amp; Loss '!Q72</f>
        <v>0</v>
      </c>
      <c r="D63" s="47"/>
      <c r="E63" s="18"/>
      <c r="F63" s="18"/>
      <c r="G63" s="18"/>
      <c r="H63" s="18"/>
      <c r="I63" s="18"/>
      <c r="J63" s="18"/>
      <c r="K63" s="18"/>
      <c r="L63" s="18"/>
      <c r="M63" s="31"/>
      <c r="N63" s="31"/>
      <c r="O63" s="31"/>
      <c r="P63" s="31"/>
      <c r="Q63" s="31"/>
      <c r="R63" s="31"/>
      <c r="S63" s="31"/>
      <c r="T63" s="31"/>
      <c r="U63" s="31"/>
      <c r="V63" s="31"/>
      <c r="W63" s="31"/>
      <c r="X63" s="31"/>
      <c r="Y63" s="45"/>
    </row>
    <row r="64" ht="20" customHeight="1">
      <c r="A64" s="40"/>
      <c r="B64" t="s" s="68">
        <v>162</v>
      </c>
      <c r="C64" s="127" cm="1">
        <f t="array" ref="C64">'SAMPLE - Monthly Profit &amp; Loss '!Q73</f>
        <v>0</v>
      </c>
      <c r="D64" s="47"/>
      <c r="E64" s="18"/>
      <c r="F64" s="18"/>
      <c r="G64" s="18"/>
      <c r="H64" s="18"/>
      <c r="I64" s="18"/>
      <c r="J64" s="18"/>
      <c r="K64" s="18"/>
      <c r="L64" s="18"/>
      <c r="M64" s="31"/>
      <c r="N64" s="31"/>
      <c r="O64" s="31"/>
      <c r="P64" s="31"/>
      <c r="Q64" s="31"/>
      <c r="R64" s="31"/>
      <c r="S64" s="31"/>
      <c r="T64" s="31"/>
      <c r="U64" s="31"/>
      <c r="V64" s="31"/>
      <c r="W64" s="31"/>
      <c r="X64" s="31"/>
      <c r="Y64" s="45"/>
    </row>
    <row r="65" ht="20" customHeight="1">
      <c r="A65" s="40"/>
      <c r="B65" t="s" s="68">
        <v>50</v>
      </c>
      <c r="C65" s="127" cm="1">
        <f t="array" ref="C65">'SAMPLE - Monthly Profit &amp; Loss '!Q74</f>
        <v>0</v>
      </c>
      <c r="D65" s="47"/>
      <c r="E65" s="18"/>
      <c r="F65" s="18"/>
      <c r="G65" s="18"/>
      <c r="H65" s="18"/>
      <c r="I65" s="18"/>
      <c r="J65" s="18"/>
      <c r="K65" s="18"/>
      <c r="L65" s="18"/>
      <c r="M65" s="31"/>
      <c r="N65" s="31"/>
      <c r="O65" s="31"/>
      <c r="P65" s="31"/>
      <c r="Q65" s="31"/>
      <c r="R65" s="31"/>
      <c r="S65" s="31"/>
      <c r="T65" s="31"/>
      <c r="U65" s="31"/>
      <c r="V65" s="31"/>
      <c r="W65" s="31"/>
      <c r="X65" s="31"/>
      <c r="Y65" s="45"/>
    </row>
    <row r="66" ht="20" customHeight="1">
      <c r="A66" s="40"/>
      <c r="B66" t="s" s="72">
        <v>66</v>
      </c>
      <c r="C66" s="123" cm="1">
        <f t="array" ref="C66">'SAMPLE - Monthly Profit &amp; Loss '!Q75</f>
        <v>0</v>
      </c>
      <c r="D66" s="47"/>
      <c r="E66" s="18"/>
      <c r="F66" s="18"/>
      <c r="G66" s="18"/>
      <c r="H66" s="18"/>
      <c r="I66" s="18"/>
      <c r="J66" s="18"/>
      <c r="K66" s="18"/>
      <c r="L66" s="18"/>
      <c r="M66" s="31"/>
      <c r="N66" s="31"/>
      <c r="O66" s="31"/>
      <c r="P66" s="31"/>
      <c r="Q66" s="31"/>
      <c r="R66" s="31"/>
      <c r="S66" s="31"/>
      <c r="T66" s="31"/>
      <c r="U66" s="31"/>
      <c r="V66" s="31"/>
      <c r="W66" s="31"/>
      <c r="X66" s="31"/>
      <c r="Y66" s="45"/>
    </row>
    <row r="67" ht="20" customHeight="1">
      <c r="A67" s="27"/>
      <c r="B67" s="97"/>
      <c r="C67" s="97"/>
      <c r="D67" s="18"/>
      <c r="E67" s="18"/>
      <c r="F67" s="18"/>
      <c r="G67" s="18"/>
      <c r="H67" s="18"/>
      <c r="I67" s="18"/>
      <c r="J67" s="18"/>
      <c r="K67" s="18"/>
      <c r="L67" s="18"/>
      <c r="M67" s="31"/>
      <c r="N67" s="31"/>
      <c r="O67" s="31"/>
      <c r="P67" s="31"/>
      <c r="Q67" s="31"/>
      <c r="R67" s="31"/>
      <c r="S67" s="31"/>
      <c r="T67" s="31"/>
      <c r="U67" s="31"/>
      <c r="V67" s="31"/>
      <c r="W67" s="31"/>
      <c r="X67" s="31"/>
      <c r="Y67" s="45"/>
    </row>
    <row r="68" ht="20" customHeight="1">
      <c r="A68" s="40"/>
      <c r="B68" t="s" s="92">
        <v>67</v>
      </c>
      <c r="C68" t="str" s="126" cm="1">
        <f t="array" ref="C68">'SAMPLE - Monthly Profit &amp; Loss '!Q77</f>
        <v>YTD</v>
      </c>
      <c r="D68" s="47"/>
      <c r="E68" s="18"/>
      <c r="F68" s="18"/>
      <c r="G68" s="18"/>
      <c r="H68" s="18"/>
      <c r="I68" s="18"/>
      <c r="J68" s="18"/>
      <c r="K68" s="18"/>
      <c r="L68" s="18"/>
      <c r="M68" s="31"/>
      <c r="N68" s="31"/>
      <c r="O68" s="31"/>
      <c r="P68" s="31"/>
      <c r="Q68" s="31"/>
      <c r="R68" s="31"/>
      <c r="S68" s="31"/>
      <c r="T68" s="31"/>
      <c r="U68" s="31"/>
      <c r="V68" s="31"/>
      <c r="W68" s="31"/>
      <c r="X68" s="31"/>
      <c r="Y68" s="45"/>
    </row>
    <row r="69" ht="20" customHeight="1">
      <c r="A69" s="40"/>
      <c r="B69" t="s" s="68">
        <v>163</v>
      </c>
      <c r="C69" s="127" cm="1">
        <f t="array" ref="C69">'SAMPLE - Monthly Profit &amp; Loss '!Q78</f>
        <v>0</v>
      </c>
      <c r="D69" s="47"/>
      <c r="E69" s="18"/>
      <c r="F69" s="18"/>
      <c r="G69" s="18"/>
      <c r="H69" s="18"/>
      <c r="I69" s="18"/>
      <c r="J69" s="18"/>
      <c r="K69" s="18"/>
      <c r="L69" s="18"/>
      <c r="M69" s="31"/>
      <c r="N69" s="31"/>
      <c r="O69" s="31"/>
      <c r="P69" s="31"/>
      <c r="Q69" s="31"/>
      <c r="R69" s="31"/>
      <c r="S69" s="31"/>
      <c r="T69" s="31"/>
      <c r="U69" s="31"/>
      <c r="V69" s="31"/>
      <c r="W69" s="31"/>
      <c r="X69" s="31"/>
      <c r="Y69" s="45"/>
    </row>
    <row r="70" ht="20" customHeight="1">
      <c r="A70" s="40"/>
      <c r="B70" t="s" s="68">
        <v>164</v>
      </c>
      <c r="C70" s="127" cm="1">
        <f t="array" ref="C70">'SAMPLE - Monthly Profit &amp; Loss '!Q79</f>
        <v>0</v>
      </c>
      <c r="D70" s="47"/>
      <c r="E70" s="18"/>
      <c r="F70" s="18"/>
      <c r="G70" s="18"/>
      <c r="H70" s="18"/>
      <c r="I70" s="18"/>
      <c r="J70" s="18"/>
      <c r="K70" s="18"/>
      <c r="L70" s="18"/>
      <c r="M70" s="31"/>
      <c r="N70" s="31"/>
      <c r="O70" s="31"/>
      <c r="P70" s="31"/>
      <c r="Q70" s="31"/>
      <c r="R70" s="31"/>
      <c r="S70" s="31"/>
      <c r="T70" s="31"/>
      <c r="U70" s="31"/>
      <c r="V70" s="31"/>
      <c r="W70" s="31"/>
      <c r="X70" s="31"/>
      <c r="Y70" s="45"/>
    </row>
    <row r="71" ht="20" customHeight="1">
      <c r="A71" s="40"/>
      <c r="B71" t="s" s="68">
        <v>165</v>
      </c>
      <c r="C71" s="127" cm="1">
        <f t="array" ref="C71">'SAMPLE - Monthly Profit &amp; Loss '!Q83</f>
        <v>0</v>
      </c>
      <c r="D71" s="47"/>
      <c r="E71" s="18"/>
      <c r="F71" s="18"/>
      <c r="G71" s="18"/>
      <c r="H71" s="18"/>
      <c r="I71" s="18"/>
      <c r="J71" s="18"/>
      <c r="K71" s="18"/>
      <c r="L71" s="18"/>
      <c r="M71" s="31"/>
      <c r="N71" s="31"/>
      <c r="O71" s="31"/>
      <c r="P71" s="31"/>
      <c r="Q71" s="31"/>
      <c r="R71" s="31"/>
      <c r="S71" s="31"/>
      <c r="T71" s="31"/>
      <c r="U71" s="31"/>
      <c r="V71" s="31"/>
      <c r="W71" s="31"/>
      <c r="X71" s="31"/>
      <c r="Y71" s="45"/>
    </row>
    <row r="72" ht="20" customHeight="1">
      <c r="A72" s="40"/>
      <c r="B72" t="s" s="68">
        <v>166</v>
      </c>
      <c r="C72" s="127" cm="1">
        <f t="array" ref="C72">'SAMPLE - Monthly Profit &amp; Loss '!Q84</f>
        <v>0</v>
      </c>
      <c r="D72" s="47"/>
      <c r="E72" s="18"/>
      <c r="F72" s="18"/>
      <c r="G72" s="18"/>
      <c r="H72" s="18"/>
      <c r="I72" s="18"/>
      <c r="J72" s="18"/>
      <c r="K72" s="18"/>
      <c r="L72" s="18"/>
      <c r="M72" s="31"/>
      <c r="N72" s="31"/>
      <c r="O72" s="31"/>
      <c r="P72" s="31"/>
      <c r="Q72" s="31"/>
      <c r="R72" s="31"/>
      <c r="S72" s="31"/>
      <c r="T72" s="31"/>
      <c r="U72" s="31"/>
      <c r="V72" s="31"/>
      <c r="W72" s="31"/>
      <c r="X72" s="31"/>
      <c r="Y72" s="45"/>
    </row>
    <row r="73" ht="20" customHeight="1">
      <c r="A73" s="40"/>
      <c r="B73" t="s" s="68">
        <v>71</v>
      </c>
      <c r="C73" s="127" cm="1">
        <f t="array" ref="C73">'SAMPLE - Monthly Profit &amp; Loss '!Q80</f>
        <v>0</v>
      </c>
      <c r="D73" s="47"/>
      <c r="E73" s="18"/>
      <c r="F73" s="18"/>
      <c r="G73" s="18"/>
      <c r="H73" s="18"/>
      <c r="I73" s="18"/>
      <c r="J73" s="18"/>
      <c r="K73" s="18"/>
      <c r="L73" s="18"/>
      <c r="M73" s="31"/>
      <c r="N73" s="31"/>
      <c r="O73" s="31"/>
      <c r="P73" s="31"/>
      <c r="Q73" s="31"/>
      <c r="R73" s="31"/>
      <c r="S73" s="31"/>
      <c r="T73" s="31"/>
      <c r="U73" s="31"/>
      <c r="V73" s="31"/>
      <c r="W73" s="31"/>
      <c r="X73" s="31"/>
      <c r="Y73" s="45"/>
    </row>
    <row r="74" ht="20" customHeight="1">
      <c r="A74" s="40"/>
      <c r="B74" t="s" s="68">
        <v>167</v>
      </c>
      <c r="C74" s="127" cm="1">
        <f t="array" ref="C74">'SAMPLE - Monthly Profit &amp; Loss '!Q81</f>
        <v>0</v>
      </c>
      <c r="D74" s="47"/>
      <c r="E74" s="18"/>
      <c r="F74" s="18"/>
      <c r="G74" s="18"/>
      <c r="H74" s="18"/>
      <c r="I74" s="18"/>
      <c r="J74" s="18"/>
      <c r="K74" s="18"/>
      <c r="L74" s="18"/>
      <c r="M74" s="31"/>
      <c r="N74" s="31"/>
      <c r="O74" s="31"/>
      <c r="P74" s="31"/>
      <c r="Q74" s="31"/>
      <c r="R74" s="31"/>
      <c r="S74" s="31"/>
      <c r="T74" s="31"/>
      <c r="U74" s="31"/>
      <c r="V74" s="31"/>
      <c r="W74" s="31"/>
      <c r="X74" s="31"/>
      <c r="Y74" s="45"/>
    </row>
    <row r="75" ht="20" customHeight="1">
      <c r="A75" s="40"/>
      <c r="B75" t="s" s="68">
        <v>168</v>
      </c>
      <c r="C75" s="127" cm="1">
        <f t="array" ref="C75">'SAMPLE - Monthly Profit &amp; Loss '!Q82</f>
        <v>0</v>
      </c>
      <c r="D75" s="47"/>
      <c r="E75" s="18"/>
      <c r="F75" s="18"/>
      <c r="G75" s="18"/>
      <c r="H75" s="18"/>
      <c r="I75" s="18"/>
      <c r="J75" s="18"/>
      <c r="K75" s="18"/>
      <c r="L75" s="18"/>
      <c r="M75" s="31"/>
      <c r="N75" s="31"/>
      <c r="O75" s="31"/>
      <c r="P75" s="31"/>
      <c r="Q75" s="31"/>
      <c r="R75" s="31"/>
      <c r="S75" s="31"/>
      <c r="T75" s="31"/>
      <c r="U75" s="31"/>
      <c r="V75" s="31"/>
      <c r="W75" s="31"/>
      <c r="X75" s="31"/>
      <c r="Y75" s="45"/>
    </row>
    <row r="76" ht="20" customHeight="1">
      <c r="A76" s="40"/>
      <c r="B76" t="s" s="68">
        <v>169</v>
      </c>
      <c r="C76" s="127" cm="1">
        <f t="array" ref="C76">'SAMPLE - Monthly Profit &amp; Loss '!Q85</f>
        <v>0</v>
      </c>
      <c r="D76" s="47"/>
      <c r="E76" s="18"/>
      <c r="F76" s="18"/>
      <c r="G76" s="18"/>
      <c r="H76" s="18"/>
      <c r="I76" s="18"/>
      <c r="J76" s="18"/>
      <c r="K76" s="18"/>
      <c r="L76" s="18"/>
      <c r="M76" s="31"/>
      <c r="N76" s="31"/>
      <c r="O76" s="31"/>
      <c r="P76" s="31"/>
      <c r="Q76" s="31"/>
      <c r="R76" s="31"/>
      <c r="S76" s="31"/>
      <c r="T76" s="31"/>
      <c r="U76" s="31"/>
      <c r="V76" s="31"/>
      <c r="W76" s="31"/>
      <c r="X76" s="31"/>
      <c r="Y76" s="45"/>
    </row>
    <row r="77" ht="20" customHeight="1">
      <c r="A77" s="40"/>
      <c r="B77" t="s" s="68">
        <v>78</v>
      </c>
      <c r="C77" s="127" cm="1">
        <f t="array" ref="C77">'SAMPLE - Monthly Profit &amp; Loss '!Q86</f>
        <v>0</v>
      </c>
      <c r="D77" s="47"/>
      <c r="E77" s="18"/>
      <c r="F77" s="18"/>
      <c r="G77" s="18"/>
      <c r="H77" s="18"/>
      <c r="I77" s="18"/>
      <c r="J77" s="18"/>
      <c r="K77" s="18"/>
      <c r="L77" s="18"/>
      <c r="M77" s="31"/>
      <c r="N77" s="31"/>
      <c r="O77" s="31"/>
      <c r="P77" s="31"/>
      <c r="Q77" s="31"/>
      <c r="R77" s="31"/>
      <c r="S77" s="31"/>
      <c r="T77" s="31"/>
      <c r="U77" s="31"/>
      <c r="V77" s="31"/>
      <c r="W77" s="31"/>
      <c r="X77" s="31"/>
      <c r="Y77" s="45"/>
    </row>
    <row r="78" ht="20" customHeight="1">
      <c r="A78" s="40"/>
      <c r="B78" t="s" s="68">
        <v>79</v>
      </c>
      <c r="C78" s="127" cm="1">
        <f t="array" ref="C78">'SAMPLE - Monthly Profit &amp; Loss '!Q87</f>
        <v>0</v>
      </c>
      <c r="D78" s="47"/>
      <c r="E78" s="18"/>
      <c r="F78" s="18"/>
      <c r="G78" s="18"/>
      <c r="H78" s="18"/>
      <c r="I78" s="18"/>
      <c r="J78" s="18"/>
      <c r="K78" s="18"/>
      <c r="L78" s="18"/>
      <c r="M78" s="31"/>
      <c r="N78" s="31"/>
      <c r="O78" s="31"/>
      <c r="P78" s="31"/>
      <c r="Q78" s="31"/>
      <c r="R78" s="31"/>
      <c r="S78" s="31"/>
      <c r="T78" s="31"/>
      <c r="U78" s="31"/>
      <c r="V78" s="31"/>
      <c r="W78" s="31"/>
      <c r="X78" s="31"/>
      <c r="Y78" s="45"/>
    </row>
    <row r="79" ht="20" customHeight="1">
      <c r="A79" s="40"/>
      <c r="B79" t="s" s="68">
        <v>170</v>
      </c>
      <c r="C79" s="127" cm="1">
        <f t="array" ref="C79">'SAMPLE - Monthly Profit &amp; Loss '!Q88</f>
        <v>0</v>
      </c>
      <c r="D79" s="47"/>
      <c r="E79" s="18"/>
      <c r="F79" s="18"/>
      <c r="G79" s="18"/>
      <c r="H79" s="18"/>
      <c r="I79" s="18"/>
      <c r="J79" s="18"/>
      <c r="K79" s="18"/>
      <c r="L79" s="18"/>
      <c r="M79" s="31"/>
      <c r="N79" s="31"/>
      <c r="O79" s="31"/>
      <c r="P79" s="31"/>
      <c r="Q79" s="31"/>
      <c r="R79" s="31"/>
      <c r="S79" s="31"/>
      <c r="T79" s="31"/>
      <c r="U79" s="31"/>
      <c r="V79" s="31"/>
      <c r="W79" s="31"/>
      <c r="X79" s="31"/>
      <c r="Y79" s="45"/>
    </row>
    <row r="80" ht="20" customHeight="1">
      <c r="A80" s="40"/>
      <c r="B80" t="s" s="68">
        <v>171</v>
      </c>
      <c r="C80" s="127" cm="1">
        <f t="array" ref="C80">'SAMPLE - Monthly Profit &amp; Loss '!Q89</f>
        <v>0</v>
      </c>
      <c r="D80" s="47"/>
      <c r="E80" s="18"/>
      <c r="F80" s="18"/>
      <c r="G80" s="18"/>
      <c r="H80" s="18"/>
      <c r="I80" s="18"/>
      <c r="J80" s="18"/>
      <c r="K80" s="18"/>
      <c r="L80" s="18"/>
      <c r="M80" s="31"/>
      <c r="N80" s="31"/>
      <c r="O80" s="31"/>
      <c r="P80" s="31"/>
      <c r="Q80" s="31"/>
      <c r="R80" s="31"/>
      <c r="S80" s="31"/>
      <c r="T80" s="31"/>
      <c r="U80" s="31"/>
      <c r="V80" s="31"/>
      <c r="W80" s="31"/>
      <c r="X80" s="31"/>
      <c r="Y80" s="45"/>
    </row>
    <row r="81" ht="20" customHeight="1">
      <c r="A81" s="40"/>
      <c r="B81" t="s" s="68">
        <v>82</v>
      </c>
      <c r="C81" s="127" cm="1">
        <f t="array" ref="C81">'SAMPLE - Monthly Profit &amp; Loss '!Q90</f>
        <v>0</v>
      </c>
      <c r="D81" s="47"/>
      <c r="E81" s="18"/>
      <c r="F81" s="18"/>
      <c r="G81" s="18"/>
      <c r="H81" s="18"/>
      <c r="I81" s="18"/>
      <c r="J81" s="18"/>
      <c r="K81" s="18"/>
      <c r="L81" s="18"/>
      <c r="M81" s="31"/>
      <c r="N81" s="31"/>
      <c r="O81" s="31"/>
      <c r="P81" s="31"/>
      <c r="Q81" s="31"/>
      <c r="R81" s="31"/>
      <c r="S81" s="31"/>
      <c r="T81" s="31"/>
      <c r="U81" s="31"/>
      <c r="V81" s="31"/>
      <c r="W81" s="31"/>
      <c r="X81" s="31"/>
      <c r="Y81" s="45"/>
    </row>
    <row r="82" ht="20" customHeight="1">
      <c r="A82" s="40"/>
      <c r="B82" t="s" s="68">
        <v>172</v>
      </c>
      <c r="C82" s="127" cm="1">
        <f t="array" ref="C82">'SAMPLE - Monthly Profit &amp; Loss '!Q91</f>
        <v>0</v>
      </c>
      <c r="D82" s="47"/>
      <c r="E82" s="18"/>
      <c r="F82" s="18"/>
      <c r="G82" s="18"/>
      <c r="H82" s="18"/>
      <c r="I82" s="18"/>
      <c r="J82" s="18"/>
      <c r="K82" s="18"/>
      <c r="L82" s="18"/>
      <c r="M82" s="31"/>
      <c r="N82" s="31"/>
      <c r="O82" s="31"/>
      <c r="P82" s="31"/>
      <c r="Q82" s="31"/>
      <c r="R82" s="31"/>
      <c r="S82" s="31"/>
      <c r="T82" s="31"/>
      <c r="U82" s="31"/>
      <c r="V82" s="31"/>
      <c r="W82" s="31"/>
      <c r="X82" s="31"/>
      <c r="Y82" s="45"/>
    </row>
    <row r="83" ht="20" customHeight="1">
      <c r="A83" s="40"/>
      <c r="B83" t="s" s="68">
        <v>173</v>
      </c>
      <c r="C83" s="127" cm="1">
        <f t="array" ref="C83">'SAMPLE - Monthly Profit &amp; Loss '!Q92</f>
        <v>0</v>
      </c>
      <c r="D83" s="47"/>
      <c r="E83" s="18"/>
      <c r="F83" s="18"/>
      <c r="G83" s="18"/>
      <c r="H83" s="18"/>
      <c r="I83" s="18"/>
      <c r="J83" s="18"/>
      <c r="K83" s="18"/>
      <c r="L83" s="18"/>
      <c r="M83" s="31"/>
      <c r="N83" s="31"/>
      <c r="O83" s="31"/>
      <c r="P83" s="31"/>
      <c r="Q83" s="31"/>
      <c r="R83" s="31"/>
      <c r="S83" s="31"/>
      <c r="T83" s="31"/>
      <c r="U83" s="31"/>
      <c r="V83" s="31"/>
      <c r="W83" s="31"/>
      <c r="X83" s="31"/>
      <c r="Y83" s="45"/>
    </row>
    <row r="84" ht="20" customHeight="1">
      <c r="A84" s="40"/>
      <c r="B84" t="s" s="68">
        <v>174</v>
      </c>
      <c r="C84" s="127" cm="1">
        <f t="array" ref="C84">'SAMPLE - Monthly Profit &amp; Loss '!Q93</f>
        <v>0</v>
      </c>
      <c r="D84" s="47"/>
      <c r="E84" s="18"/>
      <c r="F84" s="18"/>
      <c r="G84" s="18"/>
      <c r="H84" s="18"/>
      <c r="I84" s="18"/>
      <c r="J84" s="18"/>
      <c r="K84" s="18"/>
      <c r="L84" s="18"/>
      <c r="M84" s="31"/>
      <c r="N84" s="31"/>
      <c r="O84" s="31"/>
      <c r="P84" s="31"/>
      <c r="Q84" s="31"/>
      <c r="R84" s="31"/>
      <c r="S84" s="31"/>
      <c r="T84" s="31"/>
      <c r="U84" s="31"/>
      <c r="V84" s="31"/>
      <c r="W84" s="31"/>
      <c r="X84" s="31"/>
      <c r="Y84" s="45"/>
    </row>
    <row r="85" ht="20" customHeight="1">
      <c r="A85" s="40"/>
      <c r="B85" t="s" s="68">
        <v>175</v>
      </c>
      <c r="C85" s="127" cm="1">
        <f t="array" ref="C85">'SAMPLE - Monthly Profit &amp; Loss '!Q94</f>
        <v>0</v>
      </c>
      <c r="D85" s="47"/>
      <c r="E85" s="18"/>
      <c r="F85" s="18"/>
      <c r="G85" s="18"/>
      <c r="H85" s="18"/>
      <c r="I85" s="18"/>
      <c r="J85" s="18"/>
      <c r="K85" s="18"/>
      <c r="L85" s="18"/>
      <c r="M85" s="31"/>
      <c r="N85" s="31"/>
      <c r="O85" s="31"/>
      <c r="P85" s="31"/>
      <c r="Q85" s="31"/>
      <c r="R85" s="31"/>
      <c r="S85" s="31"/>
      <c r="T85" s="31"/>
      <c r="U85" s="31"/>
      <c r="V85" s="31"/>
      <c r="W85" s="31"/>
      <c r="X85" s="31"/>
      <c r="Y85" s="45"/>
    </row>
    <row r="86" ht="20" customHeight="1">
      <c r="A86" s="40"/>
      <c r="B86" t="s" s="68">
        <v>50</v>
      </c>
      <c r="C86" s="127" cm="1">
        <f t="array" ref="C86">'SAMPLE - Monthly Profit &amp; Loss '!Q95</f>
        <v>0</v>
      </c>
      <c r="D86" s="47"/>
      <c r="E86" s="18"/>
      <c r="F86" s="18"/>
      <c r="G86" s="18"/>
      <c r="H86" s="18"/>
      <c r="I86" s="18"/>
      <c r="J86" s="18"/>
      <c r="K86" s="18"/>
      <c r="L86" s="18"/>
      <c r="M86" s="31"/>
      <c r="N86" s="31"/>
      <c r="O86" s="31"/>
      <c r="P86" s="31"/>
      <c r="Q86" s="31"/>
      <c r="R86" s="31"/>
      <c r="S86" s="31"/>
      <c r="T86" s="31"/>
      <c r="U86" s="31"/>
      <c r="V86" s="31"/>
      <c r="W86" s="31"/>
      <c r="X86" s="31"/>
      <c r="Y86" s="45"/>
    </row>
    <row r="87" ht="20" customHeight="1">
      <c r="A87" s="40"/>
      <c r="B87" t="s" s="72">
        <v>87</v>
      </c>
      <c r="C87" s="123" cm="1">
        <f t="array" ref="C87">'SAMPLE - Monthly Profit &amp; Loss '!Q96</f>
        <v>0</v>
      </c>
      <c r="D87" s="47"/>
      <c r="E87" s="18"/>
      <c r="F87" s="18"/>
      <c r="G87" s="18"/>
      <c r="H87" s="18"/>
      <c r="I87" s="18"/>
      <c r="J87" s="18"/>
      <c r="K87" s="18"/>
      <c r="L87" s="18"/>
      <c r="M87" s="31"/>
      <c r="N87" s="31"/>
      <c r="O87" s="31"/>
      <c r="P87" s="31"/>
      <c r="Q87" s="31"/>
      <c r="R87" s="31"/>
      <c r="S87" s="31"/>
      <c r="T87" s="31"/>
      <c r="U87" s="31"/>
      <c r="V87" s="31"/>
      <c r="W87" s="31"/>
      <c r="X87" s="31"/>
      <c r="Y87" s="45"/>
    </row>
    <row r="88" ht="20" customHeight="1">
      <c r="A88" s="27"/>
      <c r="B88" s="97"/>
      <c r="C88" s="97"/>
      <c r="D88" s="18"/>
      <c r="E88" s="18"/>
      <c r="F88" s="18"/>
      <c r="G88" s="18"/>
      <c r="H88" s="18"/>
      <c r="I88" s="18"/>
      <c r="J88" s="18"/>
      <c r="K88" s="18"/>
      <c r="L88" s="18"/>
      <c r="M88" s="31"/>
      <c r="N88" s="31"/>
      <c r="O88" s="31"/>
      <c r="P88" s="31"/>
      <c r="Q88" s="31"/>
      <c r="R88" s="31"/>
      <c r="S88" s="31"/>
      <c r="T88" s="31"/>
      <c r="U88" s="31"/>
      <c r="V88" s="31"/>
      <c r="W88" s="31"/>
      <c r="X88" s="31"/>
      <c r="Y88" s="45"/>
    </row>
    <row r="89" ht="20" customHeight="1">
      <c r="A89" s="40"/>
      <c r="B89" t="s" s="92">
        <v>176</v>
      </c>
      <c r="C89" t="str" s="126" cm="1">
        <f t="array" ref="C89">'SAMPLE - Monthly Profit &amp; Loss '!Q98</f>
        <v>YTD</v>
      </c>
      <c r="D89" s="47"/>
      <c r="E89" s="18"/>
      <c r="F89" s="18"/>
      <c r="G89" s="18"/>
      <c r="H89" s="18"/>
      <c r="I89" s="18"/>
      <c r="J89" s="18"/>
      <c r="K89" s="18"/>
      <c r="L89" s="18"/>
      <c r="M89" s="31"/>
      <c r="N89" s="31"/>
      <c r="O89" s="31"/>
      <c r="P89" s="31"/>
      <c r="Q89" s="31"/>
      <c r="R89" s="31"/>
      <c r="S89" s="31"/>
      <c r="T89" s="31"/>
      <c r="U89" s="31"/>
      <c r="V89" s="31"/>
      <c r="W89" s="31"/>
      <c r="X89" s="31"/>
      <c r="Y89" s="45"/>
    </row>
    <row r="90" ht="20" customHeight="1">
      <c r="A90" s="40"/>
      <c r="B90" t="s" s="68">
        <v>89</v>
      </c>
      <c r="C90" s="127" cm="1">
        <f t="array" ref="C90">'SAMPLE - Monthly Profit &amp; Loss '!Q99</f>
        <v>0</v>
      </c>
      <c r="D90" s="47"/>
      <c r="E90" s="18"/>
      <c r="F90" s="18"/>
      <c r="G90" s="18"/>
      <c r="H90" s="18"/>
      <c r="I90" s="18"/>
      <c r="J90" s="18"/>
      <c r="K90" s="18"/>
      <c r="L90" s="18"/>
      <c r="M90" s="31"/>
      <c r="N90" s="31"/>
      <c r="O90" s="31"/>
      <c r="P90" s="31"/>
      <c r="Q90" s="31"/>
      <c r="R90" s="31"/>
      <c r="S90" s="31"/>
      <c r="T90" s="31"/>
      <c r="U90" s="31"/>
      <c r="V90" s="31"/>
      <c r="W90" s="31"/>
      <c r="X90" s="31"/>
      <c r="Y90" s="45"/>
    </row>
    <row r="91" ht="20" customHeight="1">
      <c r="A91" s="40"/>
      <c r="B91" t="s" s="68">
        <v>164</v>
      </c>
      <c r="C91" s="127" cm="1">
        <f t="array" ref="C91">'SAMPLE - Monthly Profit &amp; Loss '!Q100</f>
        <v>0</v>
      </c>
      <c r="D91" s="47"/>
      <c r="E91" s="18"/>
      <c r="F91" s="18"/>
      <c r="G91" s="18"/>
      <c r="H91" s="18"/>
      <c r="I91" s="18"/>
      <c r="J91" s="18"/>
      <c r="K91" s="18"/>
      <c r="L91" s="18"/>
      <c r="M91" s="31"/>
      <c r="N91" s="31"/>
      <c r="O91" s="31"/>
      <c r="P91" s="31"/>
      <c r="Q91" s="31"/>
      <c r="R91" s="31"/>
      <c r="S91" s="31"/>
      <c r="T91" s="31"/>
      <c r="U91" s="31"/>
      <c r="V91" s="31"/>
      <c r="W91" s="31"/>
      <c r="X91" s="31"/>
      <c r="Y91" s="45"/>
    </row>
    <row r="92" ht="20" customHeight="1">
      <c r="A92" s="40"/>
      <c r="B92" t="s" s="68">
        <v>91</v>
      </c>
      <c r="C92" s="127" cm="1">
        <f t="array" ref="C92">'SAMPLE - Monthly Profit &amp; Loss '!Q101</f>
        <v>0</v>
      </c>
      <c r="D92" s="47"/>
      <c r="E92" s="18"/>
      <c r="F92" s="18"/>
      <c r="G92" s="18"/>
      <c r="H92" s="18"/>
      <c r="I92" s="18"/>
      <c r="J92" s="18"/>
      <c r="K92" s="18"/>
      <c r="L92" s="18"/>
      <c r="M92" s="31"/>
      <c r="N92" s="31"/>
      <c r="O92" s="31"/>
      <c r="P92" s="31"/>
      <c r="Q92" s="31"/>
      <c r="R92" s="31"/>
      <c r="S92" s="31"/>
      <c r="T92" s="31"/>
      <c r="U92" s="31"/>
      <c r="V92" s="31"/>
      <c r="W92" s="31"/>
      <c r="X92" s="31"/>
      <c r="Y92" s="45"/>
    </row>
    <row r="93" ht="20" customHeight="1">
      <c r="A93" s="40"/>
      <c r="B93" t="s" s="68">
        <v>64</v>
      </c>
      <c r="C93" s="127" cm="1">
        <f t="array" ref="C93">'SAMPLE - Monthly Profit &amp; Loss '!Q102</f>
        <v>0</v>
      </c>
      <c r="D93" s="47"/>
      <c r="E93" s="18"/>
      <c r="F93" s="18"/>
      <c r="G93" s="18"/>
      <c r="H93" s="18"/>
      <c r="I93" s="18"/>
      <c r="J93" s="18"/>
      <c r="K93" s="18"/>
      <c r="L93" s="18"/>
      <c r="M93" s="31"/>
      <c r="N93" s="31"/>
      <c r="O93" s="31"/>
      <c r="P93" s="31"/>
      <c r="Q93" s="31"/>
      <c r="R93" s="31"/>
      <c r="S93" s="31"/>
      <c r="T93" s="31"/>
      <c r="U93" s="31"/>
      <c r="V93" s="31"/>
      <c r="W93" s="31"/>
      <c r="X93" s="31"/>
      <c r="Y93" s="45"/>
    </row>
    <row r="94" ht="20" customHeight="1">
      <c r="A94" s="40"/>
      <c r="B94" t="s" s="68">
        <v>50</v>
      </c>
      <c r="C94" s="127" cm="1">
        <f t="array" ref="C94">'SAMPLE - Monthly Profit &amp; Loss '!Q103</f>
        <v>0</v>
      </c>
      <c r="D94" s="47"/>
      <c r="E94" s="18"/>
      <c r="F94" s="18"/>
      <c r="G94" s="18"/>
      <c r="H94" s="18"/>
      <c r="I94" s="18"/>
      <c r="J94" s="18"/>
      <c r="K94" s="18"/>
      <c r="L94" s="18"/>
      <c r="M94" s="31"/>
      <c r="N94" s="31"/>
      <c r="O94" s="31"/>
      <c r="P94" s="31"/>
      <c r="Q94" s="31"/>
      <c r="R94" s="31"/>
      <c r="S94" s="31"/>
      <c r="T94" s="31"/>
      <c r="U94" s="31"/>
      <c r="V94" s="31"/>
      <c r="W94" s="31"/>
      <c r="X94" s="31"/>
      <c r="Y94" s="45"/>
    </row>
    <row r="95" ht="20" customHeight="1">
      <c r="A95" s="40"/>
      <c r="B95" t="s" s="72">
        <v>92</v>
      </c>
      <c r="C95" s="123" cm="1">
        <f t="array" ref="C95">'SAMPLE - Monthly Profit &amp; Loss '!Q104</f>
        <v>0</v>
      </c>
      <c r="D95" s="47"/>
      <c r="E95" s="18"/>
      <c r="F95" s="18"/>
      <c r="G95" s="18"/>
      <c r="H95" s="18"/>
      <c r="I95" s="18"/>
      <c r="J95" s="18"/>
      <c r="K95" s="18"/>
      <c r="L95" s="18"/>
      <c r="M95" s="31"/>
      <c r="N95" s="31"/>
      <c r="O95" s="31"/>
      <c r="P95" s="31"/>
      <c r="Q95" s="31"/>
      <c r="R95" s="31"/>
      <c r="S95" s="31"/>
      <c r="T95" s="31"/>
      <c r="U95" s="31"/>
      <c r="V95" s="31"/>
      <c r="W95" s="31"/>
      <c r="X95" s="31"/>
      <c r="Y95" s="45"/>
    </row>
    <row r="96" ht="20" customHeight="1">
      <c r="A96" s="27"/>
      <c r="B96" s="97"/>
      <c r="C96" s="97"/>
      <c r="D96" s="18"/>
      <c r="E96" s="18"/>
      <c r="F96" s="18"/>
      <c r="G96" s="18"/>
      <c r="H96" s="18"/>
      <c r="I96" s="18"/>
      <c r="J96" s="18"/>
      <c r="K96" s="18"/>
      <c r="L96" s="18"/>
      <c r="M96" s="31"/>
      <c r="N96" s="31"/>
      <c r="O96" s="31"/>
      <c r="P96" s="31"/>
      <c r="Q96" s="31"/>
      <c r="R96" s="31"/>
      <c r="S96" s="31"/>
      <c r="T96" s="31"/>
      <c r="U96" s="31"/>
      <c r="V96" s="31"/>
      <c r="W96" s="31"/>
      <c r="X96" s="31"/>
      <c r="Y96" s="45"/>
    </row>
    <row r="97" ht="20" customHeight="1">
      <c r="A97" s="40"/>
      <c r="B97" t="s" s="92">
        <v>93</v>
      </c>
      <c r="C97" t="str" s="126" cm="1">
        <f t="array" ref="C97">'SAMPLE - Monthly Profit &amp; Loss '!Q106</f>
        <v>YTD</v>
      </c>
      <c r="D97" s="47"/>
      <c r="E97" s="18"/>
      <c r="F97" s="18"/>
      <c r="G97" s="18"/>
      <c r="H97" s="18"/>
      <c r="I97" s="18"/>
      <c r="J97" s="18"/>
      <c r="K97" s="18"/>
      <c r="L97" s="18"/>
      <c r="M97" s="31"/>
      <c r="N97" s="31"/>
      <c r="O97" s="31"/>
      <c r="P97" s="31"/>
      <c r="Q97" s="31"/>
      <c r="R97" s="31"/>
      <c r="S97" s="31"/>
      <c r="T97" s="31"/>
      <c r="U97" s="31"/>
      <c r="V97" s="31"/>
      <c r="W97" s="31"/>
      <c r="X97" s="31"/>
      <c r="Y97" s="45"/>
    </row>
    <row r="98" ht="20" customHeight="1">
      <c r="A98" s="40"/>
      <c r="B98" t="s" s="68">
        <v>95</v>
      </c>
      <c r="C98" s="127" cm="1">
        <f t="array" ref="C98">'SAMPLE - Monthly Profit &amp; Loss '!Q108</f>
        <v>0</v>
      </c>
      <c r="D98" s="47"/>
      <c r="E98" s="18"/>
      <c r="F98" s="18"/>
      <c r="G98" s="18"/>
      <c r="H98" s="18"/>
      <c r="I98" s="18"/>
      <c r="J98" s="18"/>
      <c r="K98" s="18"/>
      <c r="L98" s="18"/>
      <c r="M98" s="31"/>
      <c r="N98" s="31"/>
      <c r="O98" s="31"/>
      <c r="P98" s="31"/>
      <c r="Q98" s="31"/>
      <c r="R98" s="31"/>
      <c r="S98" s="31"/>
      <c r="T98" s="31"/>
      <c r="U98" s="31"/>
      <c r="V98" s="31"/>
      <c r="W98" s="31"/>
      <c r="X98" s="31"/>
      <c r="Y98" s="45"/>
    </row>
    <row r="99" ht="20" customHeight="1">
      <c r="A99" s="40"/>
      <c r="B99" t="s" s="68">
        <v>96</v>
      </c>
      <c r="C99" s="127" cm="1">
        <f t="array" ref="C99">'SAMPLE - Monthly Profit &amp; Loss '!Q109</f>
        <v>0</v>
      </c>
      <c r="D99" s="47"/>
      <c r="E99" s="18"/>
      <c r="F99" s="18"/>
      <c r="G99" s="18"/>
      <c r="H99" s="18"/>
      <c r="I99" s="18"/>
      <c r="J99" s="18"/>
      <c r="K99" s="18"/>
      <c r="L99" s="18"/>
      <c r="M99" s="31"/>
      <c r="N99" s="31"/>
      <c r="O99" s="31"/>
      <c r="P99" s="31"/>
      <c r="Q99" s="31"/>
      <c r="R99" s="31"/>
      <c r="S99" s="31"/>
      <c r="T99" s="31"/>
      <c r="U99" s="31"/>
      <c r="V99" s="31"/>
      <c r="W99" s="31"/>
      <c r="X99" s="31"/>
      <c r="Y99" s="45"/>
    </row>
    <row r="100" ht="20" customHeight="1">
      <c r="A100" s="40"/>
      <c r="B100" t="s" s="68">
        <v>97</v>
      </c>
      <c r="C100" s="127" cm="1">
        <f t="array" ref="C100">'SAMPLE - Monthly Profit &amp; Loss '!Q110</f>
        <v>0</v>
      </c>
      <c r="D100" s="47"/>
      <c r="E100" s="18"/>
      <c r="F100" s="18"/>
      <c r="G100" s="18"/>
      <c r="H100" s="18"/>
      <c r="I100" s="18"/>
      <c r="J100" s="18"/>
      <c r="K100" s="18"/>
      <c r="L100" s="18"/>
      <c r="M100" s="31"/>
      <c r="N100" s="31"/>
      <c r="O100" s="31"/>
      <c r="P100" s="31"/>
      <c r="Q100" s="31"/>
      <c r="R100" s="31"/>
      <c r="S100" s="31"/>
      <c r="T100" s="31"/>
      <c r="U100" s="31"/>
      <c r="V100" s="31"/>
      <c r="W100" s="31"/>
      <c r="X100" s="31"/>
      <c r="Y100" s="45"/>
    </row>
    <row r="101" ht="20" customHeight="1">
      <c r="A101" s="40"/>
      <c r="B101" t="s" s="68">
        <v>50</v>
      </c>
      <c r="C101" s="127" cm="1">
        <f t="array" ref="C101">'SAMPLE - Monthly Profit &amp; Loss '!Q107</f>
        <v>0</v>
      </c>
      <c r="D101" s="47"/>
      <c r="E101" s="18"/>
      <c r="F101" s="18"/>
      <c r="G101" s="18"/>
      <c r="H101" s="18"/>
      <c r="I101" s="18"/>
      <c r="J101" s="18"/>
      <c r="K101" s="18"/>
      <c r="L101" s="18"/>
      <c r="M101" s="31"/>
      <c r="N101" s="31"/>
      <c r="O101" s="31"/>
      <c r="P101" s="31"/>
      <c r="Q101" s="31"/>
      <c r="R101" s="31"/>
      <c r="S101" s="31"/>
      <c r="T101" s="31"/>
      <c r="U101" s="31"/>
      <c r="V101" s="31"/>
      <c r="W101" s="31"/>
      <c r="X101" s="31"/>
      <c r="Y101" s="45"/>
    </row>
    <row r="102" ht="20" customHeight="1">
      <c r="A102" s="40"/>
      <c r="B102" t="s" s="72">
        <v>98</v>
      </c>
      <c r="C102" s="123" cm="1">
        <f t="array" ref="C102">'SAMPLE - Monthly Profit &amp; Loss '!Q111</f>
        <v>0</v>
      </c>
      <c r="D102" s="47"/>
      <c r="E102" s="18"/>
      <c r="F102" s="18"/>
      <c r="G102" s="18"/>
      <c r="H102" s="18"/>
      <c r="I102" s="18"/>
      <c r="J102" s="18"/>
      <c r="K102" s="18"/>
      <c r="L102" s="18"/>
      <c r="M102" s="31"/>
      <c r="N102" s="31"/>
      <c r="O102" s="31"/>
      <c r="P102" s="31"/>
      <c r="Q102" s="31"/>
      <c r="R102" s="31"/>
      <c r="S102" s="31"/>
      <c r="T102" s="31"/>
      <c r="U102" s="31"/>
      <c r="V102" s="31"/>
      <c r="W102" s="31"/>
      <c r="X102" s="31"/>
      <c r="Y102" s="45"/>
    </row>
    <row r="103" ht="20" customHeight="1">
      <c r="A103" s="27"/>
      <c r="B103" s="97"/>
      <c r="C103" s="97"/>
      <c r="D103" s="18"/>
      <c r="E103" s="18"/>
      <c r="F103" s="18"/>
      <c r="G103" s="18"/>
      <c r="H103" s="18"/>
      <c r="I103" s="18"/>
      <c r="J103" s="18"/>
      <c r="K103" s="18"/>
      <c r="L103" s="18"/>
      <c r="M103" s="31"/>
      <c r="N103" s="31"/>
      <c r="O103" s="31"/>
      <c r="P103" s="31"/>
      <c r="Q103" s="31"/>
      <c r="R103" s="31"/>
      <c r="S103" s="31"/>
      <c r="T103" s="31"/>
      <c r="U103" s="31"/>
      <c r="V103" s="31"/>
      <c r="W103" s="31"/>
      <c r="X103" s="31"/>
      <c r="Y103" s="45"/>
    </row>
    <row r="104" ht="20" customHeight="1">
      <c r="A104" s="40"/>
      <c r="B104" t="s" s="41">
        <v>26</v>
      </c>
      <c r="C104" s="123" cm="1">
        <f t="array" ref="C104">'SAMPLE - Monthly Profit &amp; Loss '!Q113</f>
        <v>91456.100000000006</v>
      </c>
      <c r="D104" s="47"/>
      <c r="E104" s="18"/>
      <c r="F104" s="18"/>
      <c r="G104" s="18"/>
      <c r="H104" s="18"/>
      <c r="I104" s="18"/>
      <c r="J104" s="18"/>
      <c r="K104" s="18"/>
      <c r="L104" s="18"/>
      <c r="M104" s="31"/>
      <c r="N104" s="31"/>
      <c r="O104" s="31"/>
      <c r="P104" s="31"/>
      <c r="Q104" s="31"/>
      <c r="R104" s="31"/>
      <c r="S104" s="31"/>
      <c r="T104" s="31"/>
      <c r="U104" s="31"/>
      <c r="V104" s="31"/>
      <c r="W104" s="31"/>
      <c r="X104" s="31"/>
      <c r="Y104" s="45"/>
    </row>
    <row r="105" ht="20" customHeight="1">
      <c r="A105" s="27"/>
      <c r="B105" s="100"/>
      <c r="C105" s="102"/>
      <c r="D105" s="130"/>
      <c r="E105" s="130"/>
      <c r="F105" s="130"/>
      <c r="G105" s="130"/>
      <c r="H105" s="130"/>
      <c r="I105" s="130"/>
      <c r="J105" s="130"/>
      <c r="K105" s="130"/>
      <c r="L105" s="130"/>
      <c r="M105" s="130"/>
      <c r="N105" s="130"/>
      <c r="O105" s="18"/>
      <c r="P105" s="130"/>
      <c r="Q105" s="18"/>
      <c r="R105" s="18"/>
      <c r="S105" s="18"/>
      <c r="T105" s="18"/>
      <c r="U105" s="18"/>
      <c r="V105" s="18"/>
      <c r="W105" s="18"/>
      <c r="X105" s="18"/>
      <c r="Y105" s="19"/>
    </row>
    <row r="106" ht="15" customHeight="1">
      <c r="A106" s="27"/>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9"/>
    </row>
    <row r="107" ht="15" customHeight="1">
      <c r="A107" s="27"/>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9"/>
    </row>
    <row r="108" ht="15" customHeight="1">
      <c r="A108" s="27"/>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9"/>
    </row>
    <row r="109" ht="15" customHeight="1">
      <c r="A109" s="27"/>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9"/>
    </row>
    <row r="110" ht="15" customHeight="1">
      <c r="A110" s="27"/>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9"/>
    </row>
    <row r="111" ht="15" customHeight="1">
      <c r="A111" s="27"/>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9"/>
    </row>
    <row r="112" ht="15" customHeight="1">
      <c r="A112" s="27"/>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9"/>
    </row>
    <row r="113" ht="15" customHeight="1">
      <c r="A113" s="27"/>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9"/>
    </row>
    <row r="114" ht="15" customHeight="1">
      <c r="A114" s="27"/>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9"/>
    </row>
    <row r="115" ht="15" customHeight="1">
      <c r="A115" s="27"/>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9"/>
    </row>
    <row r="116" ht="15" customHeight="1">
      <c r="A116" s="27"/>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9"/>
    </row>
    <row r="117" ht="15" customHeight="1">
      <c r="A117" s="27"/>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9"/>
    </row>
    <row r="118" ht="15" customHeight="1">
      <c r="A118" s="27"/>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9"/>
    </row>
    <row r="119" ht="15" customHeight="1">
      <c r="A119" s="27"/>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9"/>
    </row>
    <row r="120" ht="15" customHeight="1">
      <c r="A120" s="27"/>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9"/>
    </row>
    <row r="121" ht="15" customHeight="1">
      <c r="A121" s="27"/>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9"/>
    </row>
    <row r="122" ht="15" customHeight="1">
      <c r="A122" s="27"/>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9"/>
    </row>
    <row r="123" ht="15" customHeight="1">
      <c r="A123" s="27"/>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9"/>
    </row>
    <row r="124" ht="15" customHeight="1">
      <c r="A124" s="27"/>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9"/>
    </row>
    <row r="125" ht="15" customHeight="1">
      <c r="A125" s="27"/>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9"/>
    </row>
    <row r="126" ht="15" customHeight="1">
      <c r="A126" s="27"/>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9"/>
    </row>
    <row r="127" ht="15" customHeight="1">
      <c r="A127" s="27"/>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9"/>
    </row>
    <row r="128" ht="15" customHeight="1">
      <c r="A128" s="27"/>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9"/>
    </row>
    <row r="129" ht="15" customHeight="1">
      <c r="A129" s="27"/>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9"/>
    </row>
    <row r="130" ht="15" customHeight="1">
      <c r="A130" s="27"/>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9"/>
    </row>
    <row r="131" ht="15" customHeight="1">
      <c r="A131" s="27"/>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9"/>
    </row>
    <row r="132" ht="15" customHeight="1">
      <c r="A132" s="27"/>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9"/>
    </row>
    <row r="133" ht="15" customHeight="1">
      <c r="A133" s="27"/>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9"/>
    </row>
    <row r="134" ht="15" customHeight="1">
      <c r="A134" s="27"/>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9"/>
    </row>
    <row r="135" ht="15" customHeight="1">
      <c r="A135" s="27"/>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9"/>
    </row>
    <row r="136" ht="15" customHeight="1">
      <c r="A136" s="27"/>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9"/>
    </row>
    <row r="137" ht="15" customHeight="1">
      <c r="A137" s="27"/>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9"/>
    </row>
    <row r="138" ht="15" customHeight="1">
      <c r="A138" s="27"/>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9"/>
    </row>
    <row r="139" ht="15" customHeight="1">
      <c r="A139" s="27"/>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9"/>
    </row>
    <row r="140" ht="15" customHeight="1">
      <c r="A140" s="27"/>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9"/>
    </row>
    <row r="141" ht="15" customHeight="1">
      <c r="A141" s="27"/>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9"/>
    </row>
    <row r="142" ht="15" customHeight="1">
      <c r="A142" s="27"/>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9"/>
    </row>
    <row r="143" ht="15" customHeight="1">
      <c r="A143" s="27"/>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9"/>
    </row>
    <row r="144" ht="15" customHeight="1">
      <c r="A144" s="27"/>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9"/>
    </row>
    <row r="145" ht="15" customHeight="1">
      <c r="A145" s="27"/>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9"/>
    </row>
    <row r="146" ht="15" customHeight="1">
      <c r="A146" s="27"/>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9"/>
    </row>
    <row r="147" ht="15" customHeight="1">
      <c r="A147" s="27"/>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9"/>
    </row>
    <row r="148" ht="15" customHeight="1">
      <c r="A148" s="27"/>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9"/>
    </row>
    <row r="149" ht="15" customHeight="1">
      <c r="A149" s="27"/>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9"/>
    </row>
    <row r="150" ht="15" customHeight="1">
      <c r="A150" s="27"/>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9"/>
    </row>
    <row r="151" ht="15" customHeight="1">
      <c r="A151" s="27"/>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9"/>
    </row>
    <row r="152" ht="15" customHeight="1">
      <c r="A152" s="27"/>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9"/>
    </row>
    <row r="153" ht="15" customHeight="1">
      <c r="A153" s="27"/>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9"/>
    </row>
    <row r="154" ht="15" customHeight="1">
      <c r="A154" s="27"/>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9"/>
    </row>
    <row r="155" ht="15" customHeight="1">
      <c r="A155" s="27"/>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9"/>
    </row>
    <row r="156" ht="15" customHeight="1">
      <c r="A156" s="27"/>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9"/>
    </row>
    <row r="157" ht="15" customHeight="1">
      <c r="A157" s="27"/>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9"/>
    </row>
    <row r="158" ht="15" customHeight="1">
      <c r="A158" s="27"/>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9"/>
    </row>
    <row r="159" ht="15" customHeight="1">
      <c r="A159" s="27"/>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9"/>
    </row>
    <row r="160" ht="15" customHeight="1">
      <c r="A160" s="27"/>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9"/>
    </row>
    <row r="161" ht="15" customHeight="1">
      <c r="A161" s="27"/>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9"/>
    </row>
    <row r="162" ht="15" customHeight="1">
      <c r="A162" s="27"/>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9"/>
    </row>
    <row r="163" ht="15" customHeight="1">
      <c r="A163" s="27"/>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9"/>
    </row>
    <row r="164" ht="15" customHeight="1">
      <c r="A164" s="27"/>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9"/>
    </row>
    <row r="165" ht="15" customHeight="1">
      <c r="A165" s="27"/>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9"/>
    </row>
    <row r="166" ht="15" customHeight="1">
      <c r="A166" s="27"/>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9"/>
    </row>
    <row r="167" ht="15" customHeight="1">
      <c r="A167" s="27"/>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9"/>
    </row>
    <row r="168" ht="15" customHeight="1">
      <c r="A168" s="27"/>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9"/>
    </row>
    <row r="169" ht="15" customHeight="1">
      <c r="A169" s="27"/>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9"/>
    </row>
    <row r="170" ht="15" customHeight="1">
      <c r="A170" s="27"/>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9"/>
    </row>
    <row r="171" ht="15" customHeight="1">
      <c r="A171" s="27"/>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9"/>
    </row>
    <row r="172" ht="15" customHeight="1">
      <c r="A172" s="27"/>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9"/>
    </row>
    <row r="173" ht="15" customHeight="1">
      <c r="A173" s="27"/>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9"/>
    </row>
    <row r="174" ht="15" customHeight="1">
      <c r="A174" s="27"/>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9"/>
    </row>
    <row r="175" ht="15" customHeight="1">
      <c r="A175" s="27"/>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9"/>
    </row>
    <row r="176" ht="15" customHeight="1">
      <c r="A176" s="27"/>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9"/>
    </row>
    <row r="177" ht="15" customHeight="1">
      <c r="A177" s="27"/>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9"/>
    </row>
    <row r="178" ht="15" customHeight="1">
      <c r="A178" s="27"/>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9"/>
    </row>
    <row r="179" ht="15" customHeight="1">
      <c r="A179" s="27"/>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9"/>
    </row>
    <row r="180" ht="15" customHeight="1">
      <c r="A180" s="27"/>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9"/>
    </row>
    <row r="181" ht="15" customHeight="1">
      <c r="A181" s="27"/>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9"/>
    </row>
    <row r="182" ht="15" customHeight="1">
      <c r="A182" s="27"/>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9"/>
    </row>
    <row r="183" ht="15" customHeight="1">
      <c r="A183" s="27"/>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9"/>
    </row>
    <row r="184" ht="15" customHeight="1">
      <c r="A184" s="27"/>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9"/>
    </row>
    <row r="185" ht="15" customHeight="1">
      <c r="A185" s="27"/>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9"/>
    </row>
    <row r="186" ht="15" customHeight="1">
      <c r="A186" s="27"/>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9"/>
    </row>
    <row r="187" ht="15" customHeight="1">
      <c r="A187" s="27"/>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9"/>
    </row>
    <row r="188" ht="15" customHeight="1">
      <c r="A188" s="27"/>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9"/>
    </row>
    <row r="189" ht="15" customHeight="1">
      <c r="A189" s="27"/>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9"/>
    </row>
    <row r="190" ht="15" customHeight="1">
      <c r="A190" s="27"/>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9"/>
    </row>
    <row r="191" ht="15" customHeight="1">
      <c r="A191" s="27"/>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9"/>
    </row>
    <row r="192" ht="15" customHeight="1">
      <c r="A192" s="27"/>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9"/>
    </row>
    <row r="193" ht="15" customHeight="1">
      <c r="A193" s="27"/>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9"/>
    </row>
    <row r="194" ht="15" customHeight="1">
      <c r="A194" s="27"/>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9"/>
    </row>
    <row r="195" ht="15" customHeight="1">
      <c r="A195" s="27"/>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9"/>
    </row>
    <row r="196" ht="15" customHeight="1">
      <c r="A196" s="27"/>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9"/>
    </row>
    <row r="197" ht="15" customHeight="1">
      <c r="A197" s="27"/>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9"/>
    </row>
    <row r="198" ht="15" customHeight="1">
      <c r="A198" s="27"/>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9"/>
    </row>
    <row r="199" ht="15" customHeight="1">
      <c r="A199" s="27"/>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9"/>
    </row>
    <row r="200" ht="15" customHeight="1">
      <c r="A200" s="27"/>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9"/>
    </row>
    <row r="201" ht="15" customHeight="1">
      <c r="A201" s="27"/>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9"/>
    </row>
    <row r="202" ht="15" customHeight="1">
      <c r="A202" s="27"/>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9"/>
    </row>
    <row r="203" ht="15" customHeight="1">
      <c r="A203" s="27"/>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9"/>
    </row>
    <row r="204" ht="15" customHeight="1">
      <c r="A204" s="27"/>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9"/>
    </row>
    <row r="205" ht="15" customHeight="1">
      <c r="A205" s="27"/>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9"/>
    </row>
    <row r="206" ht="15" customHeight="1">
      <c r="A206" s="27"/>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9"/>
    </row>
    <row r="207" ht="15" customHeight="1">
      <c r="A207" s="27"/>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9"/>
    </row>
    <row r="208" ht="15" customHeight="1">
      <c r="A208" s="27"/>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9"/>
    </row>
    <row r="209" ht="15" customHeight="1">
      <c r="A209" s="27"/>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9"/>
    </row>
    <row r="210" ht="15" customHeight="1">
      <c r="A210" s="27"/>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9"/>
    </row>
    <row r="211" ht="15" customHeight="1">
      <c r="A211" s="27"/>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9"/>
    </row>
    <row r="212" ht="15" customHeight="1">
      <c r="A212" s="27"/>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9"/>
    </row>
    <row r="213" ht="15" customHeight="1">
      <c r="A213" s="27"/>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9"/>
    </row>
    <row r="214" ht="15" customHeight="1">
      <c r="A214" s="27"/>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9"/>
    </row>
    <row r="215" ht="15" customHeight="1">
      <c r="A215" s="27"/>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9"/>
    </row>
    <row r="216" ht="15" customHeight="1">
      <c r="A216" s="27"/>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9"/>
    </row>
    <row r="217" ht="15" customHeight="1">
      <c r="A217" s="27"/>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9"/>
    </row>
    <row r="218" ht="15" customHeight="1">
      <c r="A218" s="27"/>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9"/>
    </row>
    <row r="219" ht="15" customHeight="1">
      <c r="A219" s="27"/>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9"/>
    </row>
    <row r="220" ht="15" customHeight="1">
      <c r="A220" s="27"/>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9"/>
    </row>
    <row r="221" ht="15" customHeight="1">
      <c r="A221" s="27"/>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9"/>
    </row>
    <row r="222" ht="15" customHeight="1">
      <c r="A222" s="27"/>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9"/>
    </row>
    <row r="223" ht="15" customHeight="1">
      <c r="A223" s="27"/>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9"/>
    </row>
    <row r="224" ht="15" customHeight="1">
      <c r="A224" s="27"/>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9"/>
    </row>
    <row r="225" ht="15" customHeight="1">
      <c r="A225" s="27"/>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9"/>
    </row>
    <row r="226" ht="15" customHeight="1">
      <c r="A226" s="27"/>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9"/>
    </row>
    <row r="227" ht="15" customHeight="1">
      <c r="A227" s="27"/>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9"/>
    </row>
    <row r="228" ht="15" customHeight="1">
      <c r="A228" s="27"/>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9"/>
    </row>
    <row r="229" ht="15" customHeight="1">
      <c r="A229" s="27"/>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9"/>
    </row>
    <row r="230" ht="15" customHeight="1">
      <c r="A230" s="27"/>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9"/>
    </row>
    <row r="231" ht="15" customHeight="1">
      <c r="A231" s="27"/>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9"/>
    </row>
    <row r="232" ht="15" customHeight="1">
      <c r="A232" s="27"/>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9"/>
    </row>
    <row r="233" ht="15" customHeight="1">
      <c r="A233" s="27"/>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9"/>
    </row>
    <row r="234" ht="15" customHeight="1">
      <c r="A234" s="27"/>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9"/>
    </row>
    <row r="235" ht="15" customHeight="1">
      <c r="A235" s="27"/>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9"/>
    </row>
    <row r="236" ht="15" customHeight="1">
      <c r="A236" s="27"/>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9"/>
    </row>
    <row r="237" ht="15" customHeight="1">
      <c r="A237" s="27"/>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9"/>
    </row>
    <row r="238" ht="15" customHeight="1">
      <c r="A238" s="27"/>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9"/>
    </row>
    <row r="239" ht="15" customHeight="1">
      <c r="A239" s="27"/>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9"/>
    </row>
    <row r="240" ht="15" customHeight="1">
      <c r="A240" s="27"/>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9"/>
    </row>
    <row r="241" ht="15" customHeight="1">
      <c r="A241" s="27"/>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9"/>
    </row>
    <row r="242" ht="15" customHeight="1">
      <c r="A242" s="27"/>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9"/>
    </row>
    <row r="243" ht="15" customHeight="1">
      <c r="A243" s="27"/>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9"/>
    </row>
    <row r="244" ht="15" customHeight="1">
      <c r="A244" s="27"/>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9"/>
    </row>
    <row r="245" ht="15" customHeight="1">
      <c r="A245" s="27"/>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9"/>
    </row>
    <row r="246" ht="15" customHeight="1">
      <c r="A246" s="27"/>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9"/>
    </row>
    <row r="247" ht="15" customHeight="1">
      <c r="A247" s="27"/>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9"/>
    </row>
    <row r="248" ht="15" customHeight="1">
      <c r="A248" s="27"/>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9"/>
    </row>
    <row r="249" ht="15" customHeight="1">
      <c r="A249" s="27"/>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9"/>
    </row>
    <row r="250" ht="15" customHeight="1">
      <c r="A250" s="27"/>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9"/>
    </row>
    <row r="251" ht="15" customHeight="1">
      <c r="A251" s="27"/>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9"/>
    </row>
    <row r="252" ht="15" customHeight="1">
      <c r="A252" s="27"/>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9"/>
    </row>
    <row r="253" ht="15" customHeight="1">
      <c r="A253" s="27"/>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9"/>
    </row>
    <row r="254" ht="15" customHeight="1">
      <c r="A254" s="27"/>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9"/>
    </row>
    <row r="255" ht="15" customHeight="1">
      <c r="A255" s="27"/>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9"/>
    </row>
    <row r="256" ht="15" customHeight="1">
      <c r="A256" s="27"/>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9"/>
    </row>
    <row r="257" ht="15" customHeight="1">
      <c r="A257" s="27"/>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9"/>
    </row>
    <row r="258" ht="15" customHeight="1">
      <c r="A258" s="27"/>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9"/>
    </row>
    <row r="259" ht="15" customHeight="1">
      <c r="A259" s="27"/>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9"/>
    </row>
    <row r="260" ht="15" customHeight="1">
      <c r="A260" s="27"/>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9"/>
    </row>
    <row r="261" ht="15" customHeight="1">
      <c r="A261" s="27"/>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9"/>
    </row>
    <row r="262" ht="15" customHeight="1">
      <c r="A262" s="27"/>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9"/>
    </row>
    <row r="263" ht="15" customHeight="1">
      <c r="A263" s="27"/>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9"/>
    </row>
    <row r="264" ht="15" customHeight="1">
      <c r="A264" s="27"/>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9"/>
    </row>
    <row r="265" ht="15" customHeight="1">
      <c r="A265" s="27"/>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9"/>
    </row>
    <row r="266" ht="15" customHeight="1">
      <c r="A266" s="27"/>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9"/>
    </row>
    <row r="267" ht="15" customHeight="1">
      <c r="A267" s="27"/>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9"/>
    </row>
    <row r="268" ht="15" customHeight="1">
      <c r="A268" s="27"/>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9"/>
    </row>
    <row r="269" ht="15" customHeight="1">
      <c r="A269" s="27"/>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9"/>
    </row>
    <row r="270" ht="15" customHeight="1">
      <c r="A270" s="27"/>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9"/>
    </row>
    <row r="271" ht="15" customHeight="1">
      <c r="A271" s="27"/>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9"/>
    </row>
    <row r="272" ht="15" customHeight="1">
      <c r="A272" s="27"/>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9"/>
    </row>
    <row r="273" ht="15" customHeight="1">
      <c r="A273" s="27"/>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9"/>
    </row>
    <row r="274" ht="15" customHeight="1">
      <c r="A274" s="27"/>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9"/>
    </row>
    <row r="275" ht="15" customHeight="1">
      <c r="A275" s="27"/>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9"/>
    </row>
    <row r="276" ht="15" customHeight="1">
      <c r="A276" s="27"/>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9"/>
    </row>
    <row r="277" ht="15" customHeight="1">
      <c r="A277" s="27"/>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9"/>
    </row>
    <row r="278" ht="15" customHeight="1">
      <c r="A278" s="27"/>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9"/>
    </row>
    <row r="279" ht="15" customHeight="1">
      <c r="A279" s="27"/>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9"/>
    </row>
    <row r="280" ht="15" customHeight="1">
      <c r="A280" s="27"/>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9"/>
    </row>
    <row r="281" ht="15" customHeight="1">
      <c r="A281" s="27"/>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9"/>
    </row>
    <row r="282" ht="15" customHeight="1">
      <c r="A282" s="27"/>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9"/>
    </row>
    <row r="283" ht="15" customHeight="1">
      <c r="A283" s="27"/>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9"/>
    </row>
    <row r="284" ht="15" customHeight="1">
      <c r="A284" s="27"/>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9"/>
    </row>
    <row r="285" ht="15" customHeight="1">
      <c r="A285" s="27"/>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9"/>
    </row>
    <row r="286" ht="15" customHeight="1">
      <c r="A286" s="27"/>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9"/>
    </row>
    <row r="287" ht="15" customHeight="1">
      <c r="A287" s="27"/>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9"/>
    </row>
    <row r="288" ht="15" customHeight="1">
      <c r="A288" s="27"/>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9"/>
    </row>
    <row r="289" ht="15" customHeight="1">
      <c r="A289" s="27"/>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9"/>
    </row>
    <row r="290" ht="15" customHeight="1">
      <c r="A290" s="27"/>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9"/>
    </row>
    <row r="291" ht="15" customHeight="1">
      <c r="A291" s="27"/>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9"/>
    </row>
    <row r="292" ht="15" customHeight="1">
      <c r="A292" s="27"/>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9"/>
    </row>
    <row r="293" ht="15" customHeight="1">
      <c r="A293" s="27"/>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9"/>
    </row>
    <row r="294" ht="15" customHeight="1">
      <c r="A294" s="27"/>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9"/>
    </row>
    <row r="295" ht="15" customHeight="1">
      <c r="A295" s="27"/>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9"/>
    </row>
    <row r="296" ht="15" customHeight="1">
      <c r="A296" s="27"/>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9"/>
    </row>
    <row r="297" ht="15" customHeight="1">
      <c r="A297" s="27"/>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9"/>
    </row>
    <row r="298" ht="15" customHeight="1">
      <c r="A298" s="27"/>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9"/>
    </row>
    <row r="299" ht="15" customHeight="1">
      <c r="A299" s="27"/>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9"/>
    </row>
    <row r="300" ht="15" customHeight="1">
      <c r="A300" s="27"/>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9"/>
    </row>
    <row r="301" ht="15" customHeight="1">
      <c r="A301" s="27"/>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9"/>
    </row>
    <row r="302" ht="15" customHeight="1">
      <c r="A302" s="27"/>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9"/>
    </row>
    <row r="303" ht="15" customHeight="1">
      <c r="A303" s="27"/>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9"/>
    </row>
    <row r="304" ht="15" customHeight="1">
      <c r="A304" s="27"/>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9"/>
    </row>
    <row r="305" ht="15" customHeight="1">
      <c r="A305" s="27"/>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9"/>
    </row>
    <row r="306" ht="15" customHeight="1">
      <c r="A306" s="27"/>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9"/>
    </row>
    <row r="307" ht="15" customHeight="1">
      <c r="A307" s="27"/>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9"/>
    </row>
    <row r="308" ht="15" customHeight="1">
      <c r="A308" s="27"/>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9"/>
    </row>
    <row r="309" ht="15" customHeight="1">
      <c r="A309" s="27"/>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9"/>
    </row>
    <row r="310" ht="15" customHeight="1">
      <c r="A310" s="27"/>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9"/>
    </row>
    <row r="311" ht="15" customHeight="1">
      <c r="A311" s="27"/>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9"/>
    </row>
    <row r="312" ht="15" customHeight="1">
      <c r="A312" s="27"/>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9"/>
    </row>
    <row r="313" ht="15" customHeight="1">
      <c r="A313" s="27"/>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9"/>
    </row>
    <row r="314" ht="15" customHeight="1">
      <c r="A314" s="27"/>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9"/>
    </row>
    <row r="315" ht="15" customHeight="1">
      <c r="A315" s="27"/>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9"/>
    </row>
    <row r="316" ht="15" customHeight="1">
      <c r="A316" s="27"/>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9"/>
    </row>
    <row r="317" ht="15" customHeight="1">
      <c r="A317" s="27"/>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9"/>
    </row>
    <row r="318" ht="15" customHeight="1">
      <c r="A318" s="27"/>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9"/>
    </row>
    <row r="319" ht="15" customHeight="1">
      <c r="A319" s="27"/>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9"/>
    </row>
    <row r="320" ht="15" customHeight="1">
      <c r="A320" s="27"/>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9"/>
    </row>
    <row r="321" ht="15" customHeight="1">
      <c r="A321" s="27"/>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9"/>
    </row>
    <row r="322" ht="15" customHeight="1">
      <c r="A322" s="27"/>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9"/>
    </row>
    <row r="323" ht="15" customHeight="1">
      <c r="A323" s="27"/>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9"/>
    </row>
    <row r="324" ht="15" customHeight="1">
      <c r="A324" s="27"/>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9"/>
    </row>
    <row r="325" ht="15" customHeight="1">
      <c r="A325" s="27"/>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9"/>
    </row>
    <row r="326" ht="15" customHeight="1">
      <c r="A326" s="27"/>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9"/>
    </row>
    <row r="327" ht="15" customHeight="1">
      <c r="A327" s="27"/>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9"/>
    </row>
    <row r="328" ht="15" customHeight="1">
      <c r="A328" s="27"/>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9"/>
    </row>
    <row r="329" ht="15" customHeight="1">
      <c r="A329" s="27"/>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9"/>
    </row>
    <row r="330" ht="15" customHeight="1">
      <c r="A330" s="27"/>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9"/>
    </row>
    <row r="331" ht="15" customHeight="1">
      <c r="A331" s="27"/>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9"/>
    </row>
    <row r="332" ht="15" customHeight="1">
      <c r="A332" s="27"/>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9"/>
    </row>
    <row r="333" ht="15" customHeight="1">
      <c r="A333" s="27"/>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9"/>
    </row>
    <row r="334" ht="15" customHeight="1">
      <c r="A334" s="27"/>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9"/>
    </row>
    <row r="335" ht="15" customHeight="1">
      <c r="A335" s="27"/>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9"/>
    </row>
    <row r="336" ht="15" customHeight="1">
      <c r="A336" s="27"/>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9"/>
    </row>
    <row r="337" ht="15" customHeight="1">
      <c r="A337" s="27"/>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9"/>
    </row>
    <row r="338" ht="15" customHeight="1">
      <c r="A338" s="27"/>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9"/>
    </row>
    <row r="339" ht="15" customHeight="1">
      <c r="A339" s="27"/>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9"/>
    </row>
    <row r="340" ht="15" customHeight="1">
      <c r="A340" s="27"/>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9"/>
    </row>
    <row r="341" ht="15" customHeight="1">
      <c r="A341" s="27"/>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9"/>
    </row>
    <row r="342" ht="15" customHeight="1">
      <c r="A342" s="27"/>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9"/>
    </row>
    <row r="343" ht="15" customHeight="1">
      <c r="A343" s="27"/>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9"/>
    </row>
    <row r="344" ht="15" customHeight="1">
      <c r="A344" s="27"/>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9"/>
    </row>
    <row r="345" ht="15" customHeight="1">
      <c r="A345" s="27"/>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9"/>
    </row>
    <row r="346" ht="15" customHeight="1">
      <c r="A346" s="27"/>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9"/>
    </row>
    <row r="347" ht="15" customHeight="1">
      <c r="A347" s="27"/>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9"/>
    </row>
    <row r="348" ht="15" customHeight="1">
      <c r="A348" s="27"/>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9"/>
    </row>
    <row r="349" ht="15" customHeight="1">
      <c r="A349" s="27"/>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9"/>
    </row>
    <row r="350" ht="15" customHeight="1">
      <c r="A350" s="27"/>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9"/>
    </row>
    <row r="351" ht="15" customHeight="1">
      <c r="A351" s="27"/>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9"/>
    </row>
    <row r="352" ht="15" customHeight="1">
      <c r="A352" s="27"/>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9"/>
    </row>
    <row r="353" ht="15" customHeight="1">
      <c r="A353" s="27"/>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9"/>
    </row>
    <row r="354" ht="15" customHeight="1">
      <c r="A354" s="27"/>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9"/>
    </row>
    <row r="355" ht="15" customHeight="1">
      <c r="A355" s="27"/>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9"/>
    </row>
    <row r="356" ht="15" customHeight="1">
      <c r="A356" s="27"/>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9"/>
    </row>
    <row r="357" ht="15" customHeight="1">
      <c r="A357" s="27"/>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9"/>
    </row>
    <row r="358" ht="15" customHeight="1">
      <c r="A358" s="27"/>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9"/>
    </row>
    <row r="359" ht="15" customHeight="1">
      <c r="A359" s="27"/>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9"/>
    </row>
    <row r="360" ht="15" customHeight="1">
      <c r="A360" s="27"/>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9"/>
    </row>
    <row r="361" ht="15" customHeight="1">
      <c r="A361" s="27"/>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9"/>
    </row>
    <row r="362" ht="15" customHeight="1">
      <c r="A362" s="27"/>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9"/>
    </row>
    <row r="363" ht="15" customHeight="1">
      <c r="A363" s="27"/>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9"/>
    </row>
    <row r="364" ht="15" customHeight="1">
      <c r="A364" s="27"/>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9"/>
    </row>
    <row r="365" ht="15" customHeight="1">
      <c r="A365" s="27"/>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9"/>
    </row>
    <row r="366" ht="15" customHeight="1">
      <c r="A366" s="27"/>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9"/>
    </row>
    <row r="367" ht="15" customHeight="1">
      <c r="A367" s="27"/>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9"/>
    </row>
    <row r="368" ht="15" customHeight="1">
      <c r="A368" s="27"/>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9"/>
    </row>
    <row r="369" ht="15" customHeight="1">
      <c r="A369" s="27"/>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9"/>
    </row>
    <row r="370" ht="15" customHeight="1">
      <c r="A370" s="27"/>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9"/>
    </row>
    <row r="371" ht="15" customHeight="1">
      <c r="A371" s="27"/>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9"/>
    </row>
    <row r="372" ht="15" customHeight="1">
      <c r="A372" s="27"/>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9"/>
    </row>
    <row r="373" ht="15" customHeight="1">
      <c r="A373" s="27"/>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9"/>
    </row>
    <row r="374" ht="15" customHeight="1">
      <c r="A374" s="27"/>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9"/>
    </row>
    <row r="375" ht="15" customHeight="1">
      <c r="A375" s="27"/>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9"/>
    </row>
    <row r="376" ht="15" customHeight="1">
      <c r="A376" s="27"/>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9"/>
    </row>
    <row r="377" ht="15" customHeight="1">
      <c r="A377" s="27"/>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9"/>
    </row>
    <row r="378" ht="15" customHeight="1">
      <c r="A378" s="27"/>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9"/>
    </row>
    <row r="379" ht="15" customHeight="1">
      <c r="A379" s="27"/>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9"/>
    </row>
    <row r="380" ht="15" customHeight="1">
      <c r="A380" s="27"/>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9"/>
    </row>
    <row r="381" ht="15" customHeight="1">
      <c r="A381" s="27"/>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9"/>
    </row>
    <row r="382" ht="15" customHeight="1">
      <c r="A382" s="27"/>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9"/>
    </row>
    <row r="383" ht="15" customHeight="1">
      <c r="A383" s="27"/>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9"/>
    </row>
    <row r="384" ht="15" customHeight="1">
      <c r="A384" s="27"/>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9"/>
    </row>
    <row r="385" ht="15" customHeight="1">
      <c r="A385" s="27"/>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9"/>
    </row>
    <row r="386" ht="15" customHeight="1">
      <c r="A386" s="27"/>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9"/>
    </row>
    <row r="387" ht="15" customHeight="1">
      <c r="A387" s="27"/>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9"/>
    </row>
    <row r="388" ht="15" customHeight="1">
      <c r="A388" s="27"/>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9"/>
    </row>
    <row r="389" ht="15" customHeight="1">
      <c r="A389" s="27"/>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9"/>
    </row>
    <row r="390" ht="15" customHeight="1">
      <c r="A390" s="27"/>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9"/>
    </row>
    <row r="391" ht="15" customHeight="1">
      <c r="A391" s="27"/>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9"/>
    </row>
    <row r="392" ht="15" customHeight="1">
      <c r="A392" s="27"/>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9"/>
    </row>
    <row r="393" ht="15" customHeight="1">
      <c r="A393" s="27"/>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9"/>
    </row>
    <row r="394" ht="15" customHeight="1">
      <c r="A394" s="27"/>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9"/>
    </row>
    <row r="395" ht="15" customHeight="1">
      <c r="A395" s="27"/>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9"/>
    </row>
    <row r="396" ht="15" customHeight="1">
      <c r="A396" s="27"/>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9"/>
    </row>
    <row r="397" ht="15" customHeight="1">
      <c r="A397" s="27"/>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9"/>
    </row>
    <row r="398" ht="15" customHeight="1">
      <c r="A398" s="27"/>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9"/>
    </row>
    <row r="399" ht="15" customHeight="1">
      <c r="A399" s="27"/>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9"/>
    </row>
    <row r="400" ht="15" customHeight="1">
      <c r="A400" s="27"/>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9"/>
    </row>
    <row r="401" ht="15" customHeight="1">
      <c r="A401" s="27"/>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9"/>
    </row>
    <row r="402" ht="15" customHeight="1">
      <c r="A402" s="27"/>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9"/>
    </row>
    <row r="403" ht="15" customHeight="1">
      <c r="A403" s="27"/>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9"/>
    </row>
    <row r="404" ht="15" customHeight="1">
      <c r="A404" s="27"/>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9"/>
    </row>
    <row r="405" ht="15" customHeight="1">
      <c r="A405" s="27"/>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9"/>
    </row>
    <row r="406" ht="15" customHeight="1">
      <c r="A406" s="27"/>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9"/>
    </row>
    <row r="407" ht="15" customHeight="1">
      <c r="A407" s="27"/>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9"/>
    </row>
    <row r="408" ht="15" customHeight="1">
      <c r="A408" s="27"/>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9"/>
    </row>
    <row r="409" ht="15" customHeight="1">
      <c r="A409" s="27"/>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9"/>
    </row>
    <row r="410" ht="15" customHeight="1">
      <c r="A410" s="27"/>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9"/>
    </row>
    <row r="411" ht="15" customHeight="1">
      <c r="A411" s="27"/>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9"/>
    </row>
    <row r="412" ht="15" customHeight="1">
      <c r="A412" s="27"/>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9"/>
    </row>
    <row r="413" ht="15" customHeight="1">
      <c r="A413" s="27"/>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9"/>
    </row>
    <row r="414" ht="15" customHeight="1">
      <c r="A414" s="27"/>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9"/>
    </row>
    <row r="415" ht="15" customHeight="1">
      <c r="A415" s="27"/>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9"/>
    </row>
    <row r="416" ht="15" customHeight="1">
      <c r="A416" s="27"/>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9"/>
    </row>
    <row r="417" ht="15" customHeight="1">
      <c r="A417" s="27"/>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9"/>
    </row>
    <row r="418" ht="15" customHeight="1">
      <c r="A418" s="27"/>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9"/>
    </row>
    <row r="419" ht="15" customHeight="1">
      <c r="A419" s="27"/>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9"/>
    </row>
    <row r="420" ht="15" customHeight="1">
      <c r="A420" s="27"/>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9"/>
    </row>
    <row r="421" ht="15" customHeight="1">
      <c r="A421" s="27"/>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9"/>
    </row>
    <row r="422" ht="15" customHeight="1">
      <c r="A422" s="27"/>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9"/>
    </row>
    <row r="423" ht="15" customHeight="1">
      <c r="A423" s="27"/>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9"/>
    </row>
    <row r="424" ht="15" customHeight="1">
      <c r="A424" s="27"/>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9"/>
    </row>
    <row r="425" ht="15" customHeight="1">
      <c r="A425" s="27"/>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9"/>
    </row>
    <row r="426" ht="15" customHeight="1">
      <c r="A426" s="27"/>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9"/>
    </row>
    <row r="427" ht="15" customHeight="1">
      <c r="A427" s="27"/>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9"/>
    </row>
    <row r="428" ht="15" customHeight="1">
      <c r="A428" s="27"/>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9"/>
    </row>
    <row r="429" ht="15" customHeight="1">
      <c r="A429" s="27"/>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9"/>
    </row>
    <row r="430" ht="15" customHeight="1">
      <c r="A430" s="27"/>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9"/>
    </row>
    <row r="431" ht="15" customHeight="1">
      <c r="A431" s="27"/>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9"/>
    </row>
    <row r="432" ht="15" customHeight="1">
      <c r="A432" s="27"/>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9"/>
    </row>
    <row r="433" ht="15" customHeight="1">
      <c r="A433" s="27"/>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9"/>
    </row>
    <row r="434" ht="15" customHeight="1">
      <c r="A434" s="27"/>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9"/>
    </row>
    <row r="435" ht="15" customHeight="1">
      <c r="A435" s="27"/>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9"/>
    </row>
    <row r="436" ht="15" customHeight="1">
      <c r="A436" s="27"/>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9"/>
    </row>
    <row r="437" ht="15" customHeight="1">
      <c r="A437" s="27"/>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9"/>
    </row>
    <row r="438" ht="15" customHeight="1">
      <c r="A438" s="27"/>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9"/>
    </row>
    <row r="439" ht="15" customHeight="1">
      <c r="A439" s="27"/>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9"/>
    </row>
    <row r="440" ht="15" customHeight="1">
      <c r="A440" s="27"/>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9"/>
    </row>
    <row r="441" ht="15" customHeight="1">
      <c r="A441" s="27"/>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9"/>
    </row>
    <row r="442" ht="15" customHeight="1">
      <c r="A442" s="27"/>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9"/>
    </row>
    <row r="443" ht="15" customHeight="1">
      <c r="A443" s="27"/>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9"/>
    </row>
    <row r="444" ht="15" customHeight="1">
      <c r="A444" s="27"/>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9"/>
    </row>
    <row r="445" ht="15" customHeight="1">
      <c r="A445" s="27"/>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9"/>
    </row>
    <row r="446" ht="15" customHeight="1">
      <c r="A446" s="27"/>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9"/>
    </row>
    <row r="447" ht="15" customHeight="1">
      <c r="A447" s="27"/>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9"/>
    </row>
    <row r="448" ht="15" customHeight="1">
      <c r="A448" s="27"/>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9"/>
    </row>
    <row r="449" ht="15" customHeight="1">
      <c r="A449" s="27"/>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9"/>
    </row>
    <row r="450" ht="15" customHeight="1">
      <c r="A450" s="27"/>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9"/>
    </row>
    <row r="451" ht="15" customHeight="1">
      <c r="A451" s="27"/>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9"/>
    </row>
    <row r="452" ht="15" customHeight="1">
      <c r="A452" s="27"/>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9"/>
    </row>
    <row r="453" ht="15" customHeight="1">
      <c r="A453" s="27"/>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9"/>
    </row>
    <row r="454" ht="15" customHeight="1">
      <c r="A454" s="27"/>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9"/>
    </row>
    <row r="455" ht="15" customHeight="1">
      <c r="A455" s="27"/>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9"/>
    </row>
    <row r="456" ht="15" customHeight="1">
      <c r="A456" s="27"/>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9"/>
    </row>
    <row r="457" ht="15" customHeight="1">
      <c r="A457" s="27"/>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9"/>
    </row>
    <row r="458" ht="15" customHeight="1">
      <c r="A458" s="27"/>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9"/>
    </row>
    <row r="459" ht="15" customHeight="1">
      <c r="A459" s="27"/>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9"/>
    </row>
    <row r="460" ht="15" customHeight="1">
      <c r="A460" s="27"/>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9"/>
    </row>
    <row r="461" ht="15" customHeight="1">
      <c r="A461" s="27"/>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9"/>
    </row>
    <row r="462" ht="15" customHeight="1">
      <c r="A462" s="27"/>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9"/>
    </row>
    <row r="463" ht="15" customHeight="1">
      <c r="A463" s="27"/>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9"/>
    </row>
    <row r="464" ht="15" customHeight="1">
      <c r="A464" s="27"/>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9"/>
    </row>
    <row r="465" ht="15" customHeight="1">
      <c r="A465" s="27"/>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9"/>
    </row>
    <row r="466" ht="15" customHeight="1">
      <c r="A466" s="27"/>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9"/>
    </row>
    <row r="467" ht="15" customHeight="1">
      <c r="A467" s="27"/>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9"/>
    </row>
    <row r="468" ht="15" customHeight="1">
      <c r="A468" s="27"/>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9"/>
    </row>
    <row r="469" ht="15" customHeight="1">
      <c r="A469" s="27"/>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9"/>
    </row>
    <row r="470" ht="15" customHeight="1">
      <c r="A470" s="27"/>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9"/>
    </row>
    <row r="471" ht="15" customHeight="1">
      <c r="A471" s="27"/>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9"/>
    </row>
    <row r="472" ht="15" customHeight="1">
      <c r="A472" s="27"/>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9"/>
    </row>
    <row r="473" ht="15" customHeight="1">
      <c r="A473" s="27"/>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9"/>
    </row>
    <row r="474" ht="15" customHeight="1">
      <c r="A474" s="27"/>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9"/>
    </row>
    <row r="475" ht="15" customHeight="1">
      <c r="A475" s="27"/>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9"/>
    </row>
    <row r="476" ht="15" customHeight="1">
      <c r="A476" s="27"/>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9"/>
    </row>
    <row r="477" ht="15" customHeight="1">
      <c r="A477" s="27"/>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9"/>
    </row>
    <row r="478" ht="15" customHeight="1">
      <c r="A478" s="27"/>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9"/>
    </row>
    <row r="479" ht="15" customHeight="1">
      <c r="A479" s="27"/>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9"/>
    </row>
    <row r="480" ht="15" customHeight="1">
      <c r="A480" s="27"/>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9"/>
    </row>
    <row r="481" ht="15" customHeight="1">
      <c r="A481" s="27"/>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9"/>
    </row>
    <row r="482" ht="15" customHeight="1">
      <c r="A482" s="27"/>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9"/>
    </row>
    <row r="483" ht="15" customHeight="1">
      <c r="A483" s="27"/>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9"/>
    </row>
    <row r="484" ht="15" customHeight="1">
      <c r="A484" s="27"/>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9"/>
    </row>
    <row r="485" ht="15" customHeight="1">
      <c r="A485" s="27"/>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9"/>
    </row>
    <row r="486" ht="15" customHeight="1">
      <c r="A486" s="27"/>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9"/>
    </row>
    <row r="487" ht="15" customHeight="1">
      <c r="A487" s="27"/>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9"/>
    </row>
    <row r="488" ht="15" customHeight="1">
      <c r="A488" s="27"/>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9"/>
    </row>
    <row r="489" ht="15" customHeight="1">
      <c r="A489" s="27"/>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9"/>
    </row>
    <row r="490" ht="15" customHeight="1">
      <c r="A490" s="27"/>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9"/>
    </row>
    <row r="491" ht="15" customHeight="1">
      <c r="A491" s="27"/>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9"/>
    </row>
    <row r="492" ht="15" customHeight="1">
      <c r="A492" s="27"/>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9"/>
    </row>
    <row r="493" ht="15" customHeight="1">
      <c r="A493" s="27"/>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9"/>
    </row>
    <row r="494" ht="15" customHeight="1">
      <c r="A494" s="27"/>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9"/>
    </row>
    <row r="495" ht="15" customHeight="1">
      <c r="A495" s="27"/>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9"/>
    </row>
    <row r="496" ht="15" customHeight="1">
      <c r="A496" s="27"/>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9"/>
    </row>
    <row r="497" ht="15" customHeight="1">
      <c r="A497" s="27"/>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9"/>
    </row>
    <row r="498" ht="15" customHeight="1">
      <c r="A498" s="27"/>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9"/>
    </row>
    <row r="499" ht="15" customHeight="1">
      <c r="A499" s="27"/>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9"/>
    </row>
    <row r="500" ht="15" customHeight="1">
      <c r="A500" s="27"/>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9"/>
    </row>
    <row r="501" ht="15" customHeight="1">
      <c r="A501" s="27"/>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9"/>
    </row>
    <row r="502" ht="15" customHeight="1">
      <c r="A502" s="27"/>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9"/>
    </row>
    <row r="503" ht="15" customHeight="1">
      <c r="A503" s="27"/>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9"/>
    </row>
    <row r="504" ht="15" customHeight="1">
      <c r="A504" s="27"/>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9"/>
    </row>
    <row r="505" ht="15" customHeight="1">
      <c r="A505" s="27"/>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9"/>
    </row>
    <row r="506" ht="15" customHeight="1">
      <c r="A506" s="27"/>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9"/>
    </row>
    <row r="507" ht="15" customHeight="1">
      <c r="A507" s="27"/>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9"/>
    </row>
    <row r="508" ht="15" customHeight="1">
      <c r="A508" s="27"/>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9"/>
    </row>
    <row r="509" ht="15" customHeight="1">
      <c r="A509" s="27"/>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9"/>
    </row>
    <row r="510" ht="15" customHeight="1">
      <c r="A510" s="27"/>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9"/>
    </row>
    <row r="511" ht="15" customHeight="1">
      <c r="A511" s="27"/>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9"/>
    </row>
    <row r="512" ht="15" customHeight="1">
      <c r="A512" s="27"/>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9"/>
    </row>
    <row r="513" ht="15" customHeight="1">
      <c r="A513" s="27"/>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9"/>
    </row>
    <row r="514" ht="15" customHeight="1">
      <c r="A514" s="27"/>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9"/>
    </row>
    <row r="515" ht="15" customHeight="1">
      <c r="A515" s="27"/>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9"/>
    </row>
    <row r="516" ht="15" customHeight="1">
      <c r="A516" s="27"/>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9"/>
    </row>
    <row r="517" ht="15" customHeight="1">
      <c r="A517" s="27"/>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9"/>
    </row>
    <row r="518" ht="15" customHeight="1">
      <c r="A518" s="27"/>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9"/>
    </row>
    <row r="519" ht="15" customHeight="1">
      <c r="A519" s="27"/>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9"/>
    </row>
    <row r="520" ht="15" customHeight="1">
      <c r="A520" s="27"/>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9"/>
    </row>
    <row r="521" ht="15" customHeight="1">
      <c r="A521" s="27"/>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9"/>
    </row>
    <row r="522" ht="15" customHeight="1">
      <c r="A522" s="27"/>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9"/>
    </row>
    <row r="523" ht="15" customHeight="1">
      <c r="A523" s="27"/>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9"/>
    </row>
    <row r="524" ht="15" customHeight="1">
      <c r="A524" s="27"/>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9"/>
    </row>
    <row r="525" ht="15" customHeight="1">
      <c r="A525" s="27"/>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9"/>
    </row>
    <row r="526" ht="15" customHeight="1">
      <c r="A526" s="27"/>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9"/>
    </row>
    <row r="527" ht="15" customHeight="1">
      <c r="A527" s="27"/>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9"/>
    </row>
    <row r="528" ht="15" customHeight="1">
      <c r="A528" s="27"/>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9"/>
    </row>
    <row r="529" ht="15" customHeight="1">
      <c r="A529" s="27"/>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9"/>
    </row>
    <row r="530" ht="15" customHeight="1">
      <c r="A530" s="27"/>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9"/>
    </row>
    <row r="531" ht="15" customHeight="1">
      <c r="A531" s="27"/>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9"/>
    </row>
    <row r="532" ht="15" customHeight="1">
      <c r="A532" s="27"/>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9"/>
    </row>
    <row r="533" ht="15" customHeight="1">
      <c r="A533" s="27"/>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9"/>
    </row>
    <row r="534" ht="15" customHeight="1">
      <c r="A534" s="27"/>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9"/>
    </row>
    <row r="535" ht="15" customHeight="1">
      <c r="A535" s="27"/>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9"/>
    </row>
    <row r="536" ht="15" customHeight="1">
      <c r="A536" s="27"/>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9"/>
    </row>
    <row r="537" ht="15" customHeight="1">
      <c r="A537" s="27"/>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9"/>
    </row>
    <row r="538" ht="15" customHeight="1">
      <c r="A538" s="27"/>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9"/>
    </row>
    <row r="539" ht="15" customHeight="1">
      <c r="A539" s="27"/>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9"/>
    </row>
    <row r="540" ht="15" customHeight="1">
      <c r="A540" s="27"/>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9"/>
    </row>
    <row r="541" ht="15" customHeight="1">
      <c r="A541" s="27"/>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9"/>
    </row>
    <row r="542" ht="15" customHeight="1">
      <c r="A542" s="27"/>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9"/>
    </row>
    <row r="543" ht="15" customHeight="1">
      <c r="A543" s="27"/>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9"/>
    </row>
    <row r="544" ht="15" customHeight="1">
      <c r="A544" s="27"/>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9"/>
    </row>
    <row r="545" ht="15" customHeight="1">
      <c r="A545" s="27"/>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9"/>
    </row>
    <row r="546" ht="15" customHeight="1">
      <c r="A546" s="27"/>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9"/>
    </row>
    <row r="547" ht="15" customHeight="1">
      <c r="A547" s="27"/>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9"/>
    </row>
    <row r="548" ht="15" customHeight="1">
      <c r="A548" s="27"/>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9"/>
    </row>
    <row r="549" ht="15" customHeight="1">
      <c r="A549" s="27"/>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9"/>
    </row>
    <row r="550" ht="15" customHeight="1">
      <c r="A550" s="27"/>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9"/>
    </row>
    <row r="551" ht="15" customHeight="1">
      <c r="A551" s="27"/>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9"/>
    </row>
    <row r="552" ht="15" customHeight="1">
      <c r="A552" s="27"/>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9"/>
    </row>
    <row r="553" ht="15" customHeight="1">
      <c r="A553" s="27"/>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9"/>
    </row>
    <row r="554" ht="15" customHeight="1">
      <c r="A554" s="27"/>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9"/>
    </row>
    <row r="555" ht="15" customHeight="1">
      <c r="A555" s="27"/>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9"/>
    </row>
    <row r="556" ht="15" customHeight="1">
      <c r="A556" s="27"/>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9"/>
    </row>
    <row r="557" ht="15" customHeight="1">
      <c r="A557" s="27"/>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9"/>
    </row>
    <row r="558" ht="15" customHeight="1">
      <c r="A558" s="27"/>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9"/>
    </row>
    <row r="559" ht="15" customHeight="1">
      <c r="A559" s="27"/>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9"/>
    </row>
    <row r="560" ht="15" customHeight="1">
      <c r="A560" s="27"/>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9"/>
    </row>
    <row r="561" ht="15" customHeight="1">
      <c r="A561" s="27"/>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9"/>
    </row>
    <row r="562" ht="15" customHeight="1">
      <c r="A562" s="27"/>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9"/>
    </row>
    <row r="563" ht="15" customHeight="1">
      <c r="A563" s="27"/>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9"/>
    </row>
    <row r="564" ht="15" customHeight="1">
      <c r="A564" s="27"/>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9"/>
    </row>
    <row r="565" ht="15" customHeight="1">
      <c r="A565" s="27"/>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9"/>
    </row>
    <row r="566" ht="15" customHeight="1">
      <c r="A566" s="27"/>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9"/>
    </row>
    <row r="567" ht="15" customHeight="1">
      <c r="A567" s="27"/>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9"/>
    </row>
    <row r="568" ht="15" customHeight="1">
      <c r="A568" s="27"/>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9"/>
    </row>
    <row r="569" ht="15" customHeight="1">
      <c r="A569" s="27"/>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9"/>
    </row>
    <row r="570" ht="15" customHeight="1">
      <c r="A570" s="27"/>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9"/>
    </row>
    <row r="571" ht="15" customHeight="1">
      <c r="A571" s="27"/>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9"/>
    </row>
    <row r="572" ht="15" customHeight="1">
      <c r="A572" s="27"/>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9"/>
    </row>
    <row r="573" ht="15" customHeight="1">
      <c r="A573" s="27"/>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9"/>
    </row>
    <row r="574" ht="15" customHeight="1">
      <c r="A574" s="27"/>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9"/>
    </row>
    <row r="575" ht="15" customHeight="1">
      <c r="A575" s="27"/>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9"/>
    </row>
    <row r="576" ht="15" customHeight="1">
      <c r="A576" s="27"/>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9"/>
    </row>
    <row r="577" ht="15" customHeight="1">
      <c r="A577" s="27"/>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9"/>
    </row>
    <row r="578" ht="15" customHeight="1">
      <c r="A578" s="27"/>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9"/>
    </row>
    <row r="579" ht="15" customHeight="1">
      <c r="A579" s="27"/>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9"/>
    </row>
    <row r="580" ht="15" customHeight="1">
      <c r="A580" s="27"/>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9"/>
    </row>
    <row r="581" ht="15" customHeight="1">
      <c r="A581" s="27"/>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9"/>
    </row>
    <row r="582" ht="15" customHeight="1">
      <c r="A582" s="27"/>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9"/>
    </row>
    <row r="583" ht="15" customHeight="1">
      <c r="A583" s="27"/>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9"/>
    </row>
    <row r="584" ht="15" customHeight="1">
      <c r="A584" s="27"/>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9"/>
    </row>
    <row r="585" ht="15" customHeight="1">
      <c r="A585" s="27"/>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9"/>
    </row>
    <row r="586" ht="15" customHeight="1">
      <c r="A586" s="27"/>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9"/>
    </row>
    <row r="587" ht="15" customHeight="1">
      <c r="A587" s="27"/>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9"/>
    </row>
    <row r="588" ht="15" customHeight="1">
      <c r="A588" s="27"/>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9"/>
    </row>
    <row r="589" ht="15" customHeight="1">
      <c r="A589" s="27"/>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9"/>
    </row>
    <row r="590" ht="15" customHeight="1">
      <c r="A590" s="27"/>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9"/>
    </row>
    <row r="591" ht="15" customHeight="1">
      <c r="A591" s="27"/>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9"/>
    </row>
    <row r="592" ht="15" customHeight="1">
      <c r="A592" s="27"/>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9"/>
    </row>
    <row r="593" ht="15" customHeight="1">
      <c r="A593" s="27"/>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9"/>
    </row>
    <row r="594" ht="15" customHeight="1">
      <c r="A594" s="27"/>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9"/>
    </row>
    <row r="595" ht="15" customHeight="1">
      <c r="A595" s="27"/>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9"/>
    </row>
    <row r="596" ht="15" customHeight="1">
      <c r="A596" s="27"/>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9"/>
    </row>
    <row r="597" ht="15" customHeight="1">
      <c r="A597" s="27"/>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9"/>
    </row>
    <row r="598" ht="15" customHeight="1">
      <c r="A598" s="27"/>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9"/>
    </row>
    <row r="599" ht="15" customHeight="1">
      <c r="A599" s="27"/>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9"/>
    </row>
    <row r="600" ht="15" customHeight="1">
      <c r="A600" s="27"/>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9"/>
    </row>
    <row r="601" ht="15" customHeight="1">
      <c r="A601" s="27"/>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9"/>
    </row>
    <row r="602" ht="15" customHeight="1">
      <c r="A602" s="27"/>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9"/>
    </row>
    <row r="603" ht="15" customHeight="1">
      <c r="A603" s="27"/>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9"/>
    </row>
    <row r="604" ht="15" customHeight="1">
      <c r="A604" s="27"/>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9"/>
    </row>
    <row r="605" ht="15" customHeight="1">
      <c r="A605" s="27"/>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9"/>
    </row>
    <row r="606" ht="15" customHeight="1">
      <c r="A606" s="27"/>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9"/>
    </row>
    <row r="607" ht="15" customHeight="1">
      <c r="A607" s="27"/>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9"/>
    </row>
    <row r="608" ht="15" customHeight="1">
      <c r="A608" s="27"/>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9"/>
    </row>
    <row r="609" ht="15" customHeight="1">
      <c r="A609" s="27"/>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9"/>
    </row>
    <row r="610" ht="15" customHeight="1">
      <c r="A610" s="27"/>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9"/>
    </row>
    <row r="611" ht="15" customHeight="1">
      <c r="A611" s="27"/>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9"/>
    </row>
    <row r="612" ht="15" customHeight="1">
      <c r="A612" s="27"/>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9"/>
    </row>
    <row r="613" ht="15" customHeight="1">
      <c r="A613" s="27"/>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9"/>
    </row>
    <row r="614" ht="15" customHeight="1">
      <c r="A614" s="27"/>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9"/>
    </row>
    <row r="615" ht="15" customHeight="1">
      <c r="A615" s="27"/>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9"/>
    </row>
    <row r="616" ht="15" customHeight="1">
      <c r="A616" s="27"/>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9"/>
    </row>
    <row r="617" ht="15" customHeight="1">
      <c r="A617" s="27"/>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9"/>
    </row>
    <row r="618" ht="15" customHeight="1">
      <c r="A618" s="27"/>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9"/>
    </row>
    <row r="619" ht="15" customHeight="1">
      <c r="A619" s="27"/>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9"/>
    </row>
    <row r="620" ht="15" customHeight="1">
      <c r="A620" s="27"/>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9"/>
    </row>
    <row r="621" ht="15" customHeight="1">
      <c r="A621" s="27"/>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9"/>
    </row>
    <row r="622" ht="15" customHeight="1">
      <c r="A622" s="27"/>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9"/>
    </row>
    <row r="623" ht="15" customHeight="1">
      <c r="A623" s="27"/>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9"/>
    </row>
    <row r="624" ht="15" customHeight="1">
      <c r="A624" s="27"/>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9"/>
    </row>
    <row r="625" ht="15" customHeight="1">
      <c r="A625" s="27"/>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9"/>
    </row>
    <row r="626" ht="15" customHeight="1">
      <c r="A626" s="27"/>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9"/>
    </row>
    <row r="627" ht="15" customHeight="1">
      <c r="A627" s="27"/>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9"/>
    </row>
    <row r="628" ht="15" customHeight="1">
      <c r="A628" s="27"/>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9"/>
    </row>
    <row r="629" ht="15" customHeight="1">
      <c r="A629" s="27"/>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9"/>
    </row>
    <row r="630" ht="15" customHeight="1">
      <c r="A630" s="27"/>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9"/>
    </row>
    <row r="631" ht="15" customHeight="1">
      <c r="A631" s="27"/>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9"/>
    </row>
    <row r="632" ht="15" customHeight="1">
      <c r="A632" s="27"/>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9"/>
    </row>
    <row r="633" ht="15" customHeight="1">
      <c r="A633" s="27"/>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9"/>
    </row>
    <row r="634" ht="15" customHeight="1">
      <c r="A634" s="27"/>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9"/>
    </row>
    <row r="635" ht="15" customHeight="1">
      <c r="A635" s="27"/>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9"/>
    </row>
    <row r="636" ht="15" customHeight="1">
      <c r="A636" s="27"/>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9"/>
    </row>
    <row r="637" ht="15" customHeight="1">
      <c r="A637" s="27"/>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9"/>
    </row>
    <row r="638" ht="15" customHeight="1">
      <c r="A638" s="27"/>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9"/>
    </row>
    <row r="639" ht="15" customHeight="1">
      <c r="A639" s="27"/>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9"/>
    </row>
    <row r="640" ht="15" customHeight="1">
      <c r="A640" s="27"/>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9"/>
    </row>
    <row r="641" ht="15" customHeight="1">
      <c r="A641" s="27"/>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9"/>
    </row>
    <row r="642" ht="15" customHeight="1">
      <c r="A642" s="27"/>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9"/>
    </row>
    <row r="643" ht="15" customHeight="1">
      <c r="A643" s="27"/>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9"/>
    </row>
    <row r="644" ht="15" customHeight="1">
      <c r="A644" s="27"/>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9"/>
    </row>
    <row r="645" ht="15" customHeight="1">
      <c r="A645" s="27"/>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9"/>
    </row>
    <row r="646" ht="15" customHeight="1">
      <c r="A646" s="27"/>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9"/>
    </row>
    <row r="647" ht="15" customHeight="1">
      <c r="A647" s="27"/>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9"/>
    </row>
    <row r="648" ht="15" customHeight="1">
      <c r="A648" s="27"/>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9"/>
    </row>
    <row r="649" ht="15" customHeight="1">
      <c r="A649" s="27"/>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9"/>
    </row>
    <row r="650" ht="15" customHeight="1">
      <c r="A650" s="27"/>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9"/>
    </row>
    <row r="651" ht="15" customHeight="1">
      <c r="A651" s="27"/>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9"/>
    </row>
    <row r="652" ht="15" customHeight="1">
      <c r="A652" s="27"/>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9"/>
    </row>
    <row r="653" ht="15" customHeight="1">
      <c r="A653" s="27"/>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9"/>
    </row>
    <row r="654" ht="15" customHeight="1">
      <c r="A654" s="27"/>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9"/>
    </row>
    <row r="655" ht="15" customHeight="1">
      <c r="A655" s="27"/>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9"/>
    </row>
    <row r="656" ht="15" customHeight="1">
      <c r="A656" s="27"/>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9"/>
    </row>
    <row r="657" ht="15" customHeight="1">
      <c r="A657" s="27"/>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9"/>
    </row>
    <row r="658" ht="15" customHeight="1">
      <c r="A658" s="27"/>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9"/>
    </row>
    <row r="659" ht="15" customHeight="1">
      <c r="A659" s="27"/>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9"/>
    </row>
    <row r="660" ht="15" customHeight="1">
      <c r="A660" s="27"/>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9"/>
    </row>
    <row r="661" ht="15" customHeight="1">
      <c r="A661" s="27"/>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9"/>
    </row>
    <row r="662" ht="15" customHeight="1">
      <c r="A662" s="27"/>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9"/>
    </row>
    <row r="663" ht="15" customHeight="1">
      <c r="A663" s="27"/>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9"/>
    </row>
    <row r="664" ht="15" customHeight="1">
      <c r="A664" s="27"/>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9"/>
    </row>
    <row r="665" ht="15" customHeight="1">
      <c r="A665" s="27"/>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9"/>
    </row>
    <row r="666" ht="15" customHeight="1">
      <c r="A666" s="27"/>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9"/>
    </row>
    <row r="667" ht="15" customHeight="1">
      <c r="A667" s="27"/>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9"/>
    </row>
    <row r="668" ht="15" customHeight="1">
      <c r="A668" s="27"/>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9"/>
    </row>
    <row r="669" ht="15" customHeight="1">
      <c r="A669" s="27"/>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9"/>
    </row>
    <row r="670" ht="15" customHeight="1">
      <c r="A670" s="27"/>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9"/>
    </row>
    <row r="671" ht="15" customHeight="1">
      <c r="A671" s="27"/>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9"/>
    </row>
    <row r="672" ht="15" customHeight="1">
      <c r="A672" s="27"/>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9"/>
    </row>
    <row r="673" ht="15" customHeight="1">
      <c r="A673" s="27"/>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9"/>
    </row>
    <row r="674" ht="15" customHeight="1">
      <c r="A674" s="27"/>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9"/>
    </row>
    <row r="675" ht="15" customHeight="1">
      <c r="A675" s="27"/>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9"/>
    </row>
    <row r="676" ht="15" customHeight="1">
      <c r="A676" s="27"/>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9"/>
    </row>
    <row r="677" ht="15" customHeight="1">
      <c r="A677" s="27"/>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9"/>
    </row>
    <row r="678" ht="15" customHeight="1">
      <c r="A678" s="27"/>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9"/>
    </row>
    <row r="679" ht="15" customHeight="1">
      <c r="A679" s="27"/>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9"/>
    </row>
    <row r="680" ht="15" customHeight="1">
      <c r="A680" s="27"/>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9"/>
    </row>
    <row r="681" ht="15" customHeight="1">
      <c r="A681" s="27"/>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9"/>
    </row>
    <row r="682" ht="15" customHeight="1">
      <c r="A682" s="27"/>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9"/>
    </row>
    <row r="683" ht="15" customHeight="1">
      <c r="A683" s="27"/>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9"/>
    </row>
    <row r="684" ht="15" customHeight="1">
      <c r="A684" s="27"/>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9"/>
    </row>
    <row r="685" ht="15" customHeight="1">
      <c r="A685" s="27"/>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9"/>
    </row>
    <row r="686" ht="15" customHeight="1">
      <c r="A686" s="27"/>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9"/>
    </row>
    <row r="687" ht="15" customHeight="1">
      <c r="A687" s="27"/>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9"/>
    </row>
    <row r="688" ht="15" customHeight="1">
      <c r="A688" s="27"/>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9"/>
    </row>
    <row r="689" ht="15" customHeight="1">
      <c r="A689" s="27"/>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9"/>
    </row>
    <row r="690" ht="15" customHeight="1">
      <c r="A690" s="27"/>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9"/>
    </row>
    <row r="691" ht="15" customHeight="1">
      <c r="A691" s="27"/>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9"/>
    </row>
    <row r="692" ht="15" customHeight="1">
      <c r="A692" s="27"/>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9"/>
    </row>
    <row r="693" ht="15" customHeight="1">
      <c r="A693" s="27"/>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9"/>
    </row>
    <row r="694" ht="15" customHeight="1">
      <c r="A694" s="27"/>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9"/>
    </row>
    <row r="695" ht="15" customHeight="1">
      <c r="A695" s="27"/>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9"/>
    </row>
    <row r="696" ht="15" customHeight="1">
      <c r="A696" s="27"/>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9"/>
    </row>
    <row r="697" ht="15" customHeight="1">
      <c r="A697" s="27"/>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9"/>
    </row>
    <row r="698" ht="15" customHeight="1">
      <c r="A698" s="27"/>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9"/>
    </row>
    <row r="699" ht="15" customHeight="1">
      <c r="A699" s="27"/>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9"/>
    </row>
    <row r="700" ht="15" customHeight="1">
      <c r="A700" s="27"/>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9"/>
    </row>
    <row r="701" ht="15" customHeight="1">
      <c r="A701" s="27"/>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9"/>
    </row>
    <row r="702" ht="15" customHeight="1">
      <c r="A702" s="27"/>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9"/>
    </row>
    <row r="703" ht="15" customHeight="1">
      <c r="A703" s="27"/>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9"/>
    </row>
    <row r="704" ht="15" customHeight="1">
      <c r="A704" s="27"/>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9"/>
    </row>
    <row r="705" ht="15" customHeight="1">
      <c r="A705" s="27"/>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9"/>
    </row>
    <row r="706" ht="15" customHeight="1">
      <c r="A706" s="27"/>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9"/>
    </row>
    <row r="707" ht="15" customHeight="1">
      <c r="A707" s="27"/>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9"/>
    </row>
    <row r="708" ht="15" customHeight="1">
      <c r="A708" s="27"/>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9"/>
    </row>
    <row r="709" ht="15" customHeight="1">
      <c r="A709" s="27"/>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9"/>
    </row>
    <row r="710" ht="15" customHeight="1">
      <c r="A710" s="27"/>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9"/>
    </row>
    <row r="711" ht="15" customHeight="1">
      <c r="A711" s="27"/>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9"/>
    </row>
    <row r="712" ht="15" customHeight="1">
      <c r="A712" s="27"/>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9"/>
    </row>
    <row r="713" ht="15" customHeight="1">
      <c r="A713" s="27"/>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9"/>
    </row>
    <row r="714" ht="15" customHeight="1">
      <c r="A714" s="27"/>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9"/>
    </row>
    <row r="715" ht="15" customHeight="1">
      <c r="A715" s="27"/>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9"/>
    </row>
    <row r="716" ht="15" customHeight="1">
      <c r="A716" s="27"/>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9"/>
    </row>
    <row r="717" ht="15" customHeight="1">
      <c r="A717" s="27"/>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9"/>
    </row>
    <row r="718" ht="15" customHeight="1">
      <c r="A718" s="27"/>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9"/>
    </row>
    <row r="719" ht="15" customHeight="1">
      <c r="A719" s="27"/>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9"/>
    </row>
    <row r="720" ht="15" customHeight="1">
      <c r="A720" s="27"/>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9"/>
    </row>
    <row r="721" ht="15" customHeight="1">
      <c r="A721" s="27"/>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9"/>
    </row>
    <row r="722" ht="15" customHeight="1">
      <c r="A722" s="27"/>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9"/>
    </row>
    <row r="723" ht="15" customHeight="1">
      <c r="A723" s="27"/>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9"/>
    </row>
    <row r="724" ht="15" customHeight="1">
      <c r="A724" s="27"/>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9"/>
    </row>
    <row r="725" ht="15" customHeight="1">
      <c r="A725" s="27"/>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9"/>
    </row>
    <row r="726" ht="15" customHeight="1">
      <c r="A726" s="27"/>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9"/>
    </row>
    <row r="727" ht="15" customHeight="1">
      <c r="A727" s="27"/>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9"/>
    </row>
    <row r="728" ht="15" customHeight="1">
      <c r="A728" s="27"/>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9"/>
    </row>
    <row r="729" ht="15" customHeight="1">
      <c r="A729" s="27"/>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9"/>
    </row>
    <row r="730" ht="15" customHeight="1">
      <c r="A730" s="27"/>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9"/>
    </row>
    <row r="731" ht="15" customHeight="1">
      <c r="A731" s="27"/>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9"/>
    </row>
    <row r="732" ht="15" customHeight="1">
      <c r="A732" s="27"/>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9"/>
    </row>
    <row r="733" ht="15" customHeight="1">
      <c r="A733" s="27"/>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9"/>
    </row>
    <row r="734" ht="15" customHeight="1">
      <c r="A734" s="27"/>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9"/>
    </row>
    <row r="735" ht="15" customHeight="1">
      <c r="A735" s="27"/>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9"/>
    </row>
    <row r="736" ht="15" customHeight="1">
      <c r="A736" s="27"/>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9"/>
    </row>
    <row r="737" ht="15" customHeight="1">
      <c r="A737" s="27"/>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9"/>
    </row>
    <row r="738" ht="15" customHeight="1">
      <c r="A738" s="27"/>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9"/>
    </row>
    <row r="739" ht="15" customHeight="1">
      <c r="A739" s="27"/>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9"/>
    </row>
    <row r="740" ht="15" customHeight="1">
      <c r="A740" s="27"/>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9"/>
    </row>
    <row r="741" ht="15" customHeight="1">
      <c r="A741" s="27"/>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9"/>
    </row>
    <row r="742" ht="15" customHeight="1">
      <c r="A742" s="27"/>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9"/>
    </row>
    <row r="743" ht="15" customHeight="1">
      <c r="A743" s="27"/>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9"/>
    </row>
    <row r="744" ht="15" customHeight="1">
      <c r="A744" s="27"/>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9"/>
    </row>
    <row r="745" ht="15" customHeight="1">
      <c r="A745" s="27"/>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9"/>
    </row>
    <row r="746" ht="15" customHeight="1">
      <c r="A746" s="27"/>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9"/>
    </row>
    <row r="747" ht="15" customHeight="1">
      <c r="A747" s="27"/>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9"/>
    </row>
    <row r="748" ht="15" customHeight="1">
      <c r="A748" s="27"/>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9"/>
    </row>
    <row r="749" ht="15" customHeight="1">
      <c r="A749" s="27"/>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9"/>
    </row>
    <row r="750" ht="15" customHeight="1">
      <c r="A750" s="27"/>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9"/>
    </row>
    <row r="751" ht="15" customHeight="1">
      <c r="A751" s="27"/>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9"/>
    </row>
    <row r="752" ht="15" customHeight="1">
      <c r="A752" s="27"/>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9"/>
    </row>
    <row r="753" ht="15" customHeight="1">
      <c r="A753" s="27"/>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9"/>
    </row>
    <row r="754" ht="15" customHeight="1">
      <c r="A754" s="27"/>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9"/>
    </row>
    <row r="755" ht="15" customHeight="1">
      <c r="A755" s="27"/>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9"/>
    </row>
    <row r="756" ht="15" customHeight="1">
      <c r="A756" s="27"/>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9"/>
    </row>
    <row r="757" ht="15" customHeight="1">
      <c r="A757" s="27"/>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9"/>
    </row>
    <row r="758" ht="15" customHeight="1">
      <c r="A758" s="27"/>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9"/>
    </row>
    <row r="759" ht="15" customHeight="1">
      <c r="A759" s="27"/>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9"/>
    </row>
    <row r="760" ht="15" customHeight="1">
      <c r="A760" s="27"/>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9"/>
    </row>
    <row r="761" ht="15" customHeight="1">
      <c r="A761" s="27"/>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9"/>
    </row>
    <row r="762" ht="15" customHeight="1">
      <c r="A762" s="27"/>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9"/>
    </row>
    <row r="763" ht="15" customHeight="1">
      <c r="A763" s="27"/>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9"/>
    </row>
    <row r="764" ht="15" customHeight="1">
      <c r="A764" s="27"/>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9"/>
    </row>
    <row r="765" ht="15" customHeight="1">
      <c r="A765" s="27"/>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9"/>
    </row>
    <row r="766" ht="15" customHeight="1">
      <c r="A766" s="27"/>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9"/>
    </row>
    <row r="767" ht="15" customHeight="1">
      <c r="A767" s="27"/>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9"/>
    </row>
    <row r="768" ht="15" customHeight="1">
      <c r="A768" s="27"/>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9"/>
    </row>
    <row r="769" ht="15" customHeight="1">
      <c r="A769" s="27"/>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9"/>
    </row>
    <row r="770" ht="15" customHeight="1">
      <c r="A770" s="27"/>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9"/>
    </row>
    <row r="771" ht="15" customHeight="1">
      <c r="A771" s="27"/>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9"/>
    </row>
    <row r="772" ht="15" customHeight="1">
      <c r="A772" s="27"/>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9"/>
    </row>
    <row r="773" ht="15" customHeight="1">
      <c r="A773" s="27"/>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9"/>
    </row>
    <row r="774" ht="15" customHeight="1">
      <c r="A774" s="27"/>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9"/>
    </row>
    <row r="775" ht="15" customHeight="1">
      <c r="A775" s="27"/>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9"/>
    </row>
    <row r="776" ht="15" customHeight="1">
      <c r="A776" s="27"/>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9"/>
    </row>
    <row r="777" ht="15" customHeight="1">
      <c r="A777" s="27"/>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9"/>
    </row>
    <row r="778" ht="15" customHeight="1">
      <c r="A778" s="27"/>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9"/>
    </row>
    <row r="779" ht="15" customHeight="1">
      <c r="A779" s="27"/>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9"/>
    </row>
    <row r="780" ht="15" customHeight="1">
      <c r="A780" s="27"/>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9"/>
    </row>
    <row r="781" ht="15" customHeight="1">
      <c r="A781" s="27"/>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9"/>
    </row>
    <row r="782" ht="15" customHeight="1">
      <c r="A782" s="27"/>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9"/>
    </row>
    <row r="783" ht="15" customHeight="1">
      <c r="A783" s="27"/>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9"/>
    </row>
    <row r="784" ht="15" customHeight="1">
      <c r="A784" s="27"/>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9"/>
    </row>
    <row r="785" ht="15" customHeight="1">
      <c r="A785" s="27"/>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9"/>
    </row>
    <row r="786" ht="15" customHeight="1">
      <c r="A786" s="27"/>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9"/>
    </row>
    <row r="787" ht="15" customHeight="1">
      <c r="A787" s="27"/>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9"/>
    </row>
    <row r="788" ht="15" customHeight="1">
      <c r="A788" s="27"/>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9"/>
    </row>
    <row r="789" ht="15" customHeight="1">
      <c r="A789" s="27"/>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9"/>
    </row>
    <row r="790" ht="15" customHeight="1">
      <c r="A790" s="27"/>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9"/>
    </row>
    <row r="791" ht="15" customHeight="1">
      <c r="A791" s="27"/>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9"/>
    </row>
    <row r="792" ht="15" customHeight="1">
      <c r="A792" s="27"/>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9"/>
    </row>
    <row r="793" ht="15" customHeight="1">
      <c r="A793" s="27"/>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9"/>
    </row>
    <row r="794" ht="15" customHeight="1">
      <c r="A794" s="27"/>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9"/>
    </row>
    <row r="795" ht="15" customHeight="1">
      <c r="A795" s="27"/>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9"/>
    </row>
    <row r="796" ht="15" customHeight="1">
      <c r="A796" s="27"/>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9"/>
    </row>
    <row r="797" ht="15" customHeight="1">
      <c r="A797" s="27"/>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9"/>
    </row>
    <row r="798" ht="15" customHeight="1">
      <c r="A798" s="27"/>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9"/>
    </row>
    <row r="799" ht="15" customHeight="1">
      <c r="A799" s="27"/>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9"/>
    </row>
    <row r="800" ht="15" customHeight="1">
      <c r="A800" s="27"/>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9"/>
    </row>
    <row r="801" ht="15" customHeight="1">
      <c r="A801" s="27"/>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9"/>
    </row>
    <row r="802" ht="15" customHeight="1">
      <c r="A802" s="27"/>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9"/>
    </row>
    <row r="803" ht="15" customHeight="1">
      <c r="A803" s="27"/>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9"/>
    </row>
    <row r="804" ht="15" customHeight="1">
      <c r="A804" s="27"/>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9"/>
    </row>
    <row r="805" ht="15" customHeight="1">
      <c r="A805" s="27"/>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9"/>
    </row>
    <row r="806" ht="15" customHeight="1">
      <c r="A806" s="27"/>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9"/>
    </row>
    <row r="807" ht="15" customHeight="1">
      <c r="A807" s="27"/>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9"/>
    </row>
    <row r="808" ht="15" customHeight="1">
      <c r="A808" s="27"/>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9"/>
    </row>
    <row r="809" ht="15" customHeight="1">
      <c r="A809" s="27"/>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9"/>
    </row>
    <row r="810" ht="15" customHeight="1">
      <c r="A810" s="27"/>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9"/>
    </row>
    <row r="811" ht="15" customHeight="1">
      <c r="A811" s="27"/>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9"/>
    </row>
    <row r="812" ht="15" customHeight="1">
      <c r="A812" s="27"/>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9"/>
    </row>
    <row r="813" ht="15" customHeight="1">
      <c r="A813" s="27"/>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9"/>
    </row>
    <row r="814" ht="15" customHeight="1">
      <c r="A814" s="27"/>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9"/>
    </row>
    <row r="815" ht="15" customHeight="1">
      <c r="A815" s="27"/>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9"/>
    </row>
    <row r="816" ht="15" customHeight="1">
      <c r="A816" s="27"/>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9"/>
    </row>
    <row r="817" ht="15" customHeight="1">
      <c r="A817" s="27"/>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9"/>
    </row>
    <row r="818" ht="15" customHeight="1">
      <c r="A818" s="27"/>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9"/>
    </row>
    <row r="819" ht="15" customHeight="1">
      <c r="A819" s="27"/>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9"/>
    </row>
    <row r="820" ht="15" customHeight="1">
      <c r="A820" s="27"/>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9"/>
    </row>
    <row r="821" ht="15" customHeight="1">
      <c r="A821" s="27"/>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9"/>
    </row>
    <row r="822" ht="15" customHeight="1">
      <c r="A822" s="27"/>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9"/>
    </row>
    <row r="823" ht="15" customHeight="1">
      <c r="A823" s="27"/>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9"/>
    </row>
    <row r="824" ht="15" customHeight="1">
      <c r="A824" s="27"/>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9"/>
    </row>
    <row r="825" ht="15" customHeight="1">
      <c r="A825" s="27"/>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9"/>
    </row>
    <row r="826" ht="15" customHeight="1">
      <c r="A826" s="27"/>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9"/>
    </row>
    <row r="827" ht="15" customHeight="1">
      <c r="A827" s="27"/>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9"/>
    </row>
    <row r="828" ht="15" customHeight="1">
      <c r="A828" s="27"/>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9"/>
    </row>
    <row r="829" ht="15" customHeight="1">
      <c r="A829" s="27"/>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9"/>
    </row>
    <row r="830" ht="15" customHeight="1">
      <c r="A830" s="27"/>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9"/>
    </row>
    <row r="831" ht="15" customHeight="1">
      <c r="A831" s="27"/>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9"/>
    </row>
    <row r="832" ht="15" customHeight="1">
      <c r="A832" s="27"/>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9"/>
    </row>
    <row r="833" ht="15" customHeight="1">
      <c r="A833" s="27"/>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9"/>
    </row>
    <row r="834" ht="15" customHeight="1">
      <c r="A834" s="27"/>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9"/>
    </row>
    <row r="835" ht="15" customHeight="1">
      <c r="A835" s="27"/>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9"/>
    </row>
    <row r="836" ht="15" customHeight="1">
      <c r="A836" s="27"/>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9"/>
    </row>
    <row r="837" ht="15" customHeight="1">
      <c r="A837" s="27"/>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9"/>
    </row>
    <row r="838" ht="15" customHeight="1">
      <c r="A838" s="27"/>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9"/>
    </row>
    <row r="839" ht="15" customHeight="1">
      <c r="A839" s="27"/>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9"/>
    </row>
    <row r="840" ht="15" customHeight="1">
      <c r="A840" s="27"/>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9"/>
    </row>
    <row r="841" ht="15" customHeight="1">
      <c r="A841" s="27"/>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9"/>
    </row>
    <row r="842" ht="15" customHeight="1">
      <c r="A842" s="27"/>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9"/>
    </row>
    <row r="843" ht="15" customHeight="1">
      <c r="A843" s="27"/>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9"/>
    </row>
    <row r="844" ht="15" customHeight="1">
      <c r="A844" s="27"/>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9"/>
    </row>
    <row r="845" ht="15" customHeight="1">
      <c r="A845" s="27"/>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9"/>
    </row>
    <row r="846" ht="15" customHeight="1">
      <c r="A846" s="27"/>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9"/>
    </row>
    <row r="847" ht="15" customHeight="1">
      <c r="A847" s="27"/>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9"/>
    </row>
    <row r="848" ht="15" customHeight="1">
      <c r="A848" s="27"/>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9"/>
    </row>
    <row r="849" ht="15" customHeight="1">
      <c r="A849" s="27"/>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9"/>
    </row>
    <row r="850" ht="15" customHeight="1">
      <c r="A850" s="27"/>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9"/>
    </row>
    <row r="851" ht="15" customHeight="1">
      <c r="A851" s="27"/>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9"/>
    </row>
    <row r="852" ht="15" customHeight="1">
      <c r="A852" s="27"/>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9"/>
    </row>
    <row r="853" ht="15" customHeight="1">
      <c r="A853" s="27"/>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9"/>
    </row>
    <row r="854" ht="15" customHeight="1">
      <c r="A854" s="27"/>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9"/>
    </row>
    <row r="855" ht="15" customHeight="1">
      <c r="A855" s="27"/>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9"/>
    </row>
    <row r="856" ht="15" customHeight="1">
      <c r="A856" s="27"/>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9"/>
    </row>
    <row r="857" ht="15" customHeight="1">
      <c r="A857" s="27"/>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9"/>
    </row>
    <row r="858" ht="15" customHeight="1">
      <c r="A858" s="27"/>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9"/>
    </row>
    <row r="859" ht="15" customHeight="1">
      <c r="A859" s="27"/>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9"/>
    </row>
    <row r="860" ht="15" customHeight="1">
      <c r="A860" s="27"/>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9"/>
    </row>
    <row r="861" ht="15" customHeight="1">
      <c r="A861" s="27"/>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9"/>
    </row>
    <row r="862" ht="15" customHeight="1">
      <c r="A862" s="27"/>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9"/>
    </row>
    <row r="863" ht="15" customHeight="1">
      <c r="A863" s="27"/>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9"/>
    </row>
    <row r="864" ht="15" customHeight="1">
      <c r="A864" s="27"/>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9"/>
    </row>
    <row r="865" ht="15" customHeight="1">
      <c r="A865" s="27"/>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9"/>
    </row>
    <row r="866" ht="15" customHeight="1">
      <c r="A866" s="27"/>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9"/>
    </row>
    <row r="867" ht="15" customHeight="1">
      <c r="A867" s="27"/>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9"/>
    </row>
    <row r="868" ht="15" customHeight="1">
      <c r="A868" s="27"/>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9"/>
    </row>
    <row r="869" ht="15" customHeight="1">
      <c r="A869" s="27"/>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9"/>
    </row>
    <row r="870" ht="15" customHeight="1">
      <c r="A870" s="27"/>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9"/>
    </row>
    <row r="871" ht="15" customHeight="1">
      <c r="A871" s="27"/>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9"/>
    </row>
    <row r="872" ht="15" customHeight="1">
      <c r="A872" s="27"/>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9"/>
    </row>
    <row r="873" ht="15" customHeight="1">
      <c r="A873" s="27"/>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9"/>
    </row>
    <row r="874" ht="15" customHeight="1">
      <c r="A874" s="27"/>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9"/>
    </row>
    <row r="875" ht="15" customHeight="1">
      <c r="A875" s="27"/>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9"/>
    </row>
    <row r="876" ht="15" customHeight="1">
      <c r="A876" s="27"/>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9"/>
    </row>
    <row r="877" ht="15" customHeight="1">
      <c r="A877" s="27"/>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9"/>
    </row>
    <row r="878" ht="15" customHeight="1">
      <c r="A878" s="27"/>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9"/>
    </row>
    <row r="879" ht="15" customHeight="1">
      <c r="A879" s="27"/>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9"/>
    </row>
    <row r="880" ht="15" customHeight="1">
      <c r="A880" s="27"/>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9"/>
    </row>
    <row r="881" ht="15" customHeight="1">
      <c r="A881" s="27"/>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9"/>
    </row>
    <row r="882" ht="15" customHeight="1">
      <c r="A882" s="27"/>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9"/>
    </row>
    <row r="883" ht="15" customHeight="1">
      <c r="A883" s="27"/>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9"/>
    </row>
    <row r="884" ht="15" customHeight="1">
      <c r="A884" s="27"/>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9"/>
    </row>
    <row r="885" ht="15" customHeight="1">
      <c r="A885" s="27"/>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9"/>
    </row>
    <row r="886" ht="15" customHeight="1">
      <c r="A886" s="27"/>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9"/>
    </row>
    <row r="887" ht="15" customHeight="1">
      <c r="A887" s="27"/>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9"/>
    </row>
    <row r="888" ht="15" customHeight="1">
      <c r="A888" s="27"/>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9"/>
    </row>
    <row r="889" ht="15" customHeight="1">
      <c r="A889" s="27"/>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9"/>
    </row>
    <row r="890" ht="15" customHeight="1">
      <c r="A890" s="27"/>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9"/>
    </row>
    <row r="891" ht="15" customHeight="1">
      <c r="A891" s="27"/>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9"/>
    </row>
    <row r="892" ht="15" customHeight="1">
      <c r="A892" s="27"/>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9"/>
    </row>
    <row r="893" ht="15" customHeight="1">
      <c r="A893" s="27"/>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9"/>
    </row>
    <row r="894" ht="15" customHeight="1">
      <c r="A894" s="27"/>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9"/>
    </row>
    <row r="895" ht="15" customHeight="1">
      <c r="A895" s="27"/>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9"/>
    </row>
    <row r="896" ht="15" customHeight="1">
      <c r="A896" s="27"/>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9"/>
    </row>
    <row r="897" ht="15" customHeight="1">
      <c r="A897" s="27"/>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9"/>
    </row>
    <row r="898" ht="15" customHeight="1">
      <c r="A898" s="27"/>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9"/>
    </row>
    <row r="899" ht="15" customHeight="1">
      <c r="A899" s="27"/>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9"/>
    </row>
    <row r="900" ht="15" customHeight="1">
      <c r="A900" s="27"/>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9"/>
    </row>
    <row r="901" ht="15" customHeight="1">
      <c r="A901" s="27"/>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9"/>
    </row>
    <row r="902" ht="15" customHeight="1">
      <c r="A902" s="27"/>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9"/>
    </row>
    <row r="903" ht="15" customHeight="1">
      <c r="A903" s="27"/>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9"/>
    </row>
    <row r="904" ht="15" customHeight="1">
      <c r="A904" s="27"/>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9"/>
    </row>
    <row r="905" ht="15" customHeight="1">
      <c r="A905" s="27"/>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9"/>
    </row>
    <row r="906" ht="15" customHeight="1">
      <c r="A906" s="27"/>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9"/>
    </row>
    <row r="907" ht="15" customHeight="1">
      <c r="A907" s="27"/>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9"/>
    </row>
    <row r="908" ht="15" customHeight="1">
      <c r="A908" s="27"/>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9"/>
    </row>
    <row r="909" ht="15" customHeight="1">
      <c r="A909" s="27"/>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9"/>
    </row>
    <row r="910" ht="15" customHeight="1">
      <c r="A910" s="27"/>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9"/>
    </row>
    <row r="911" ht="15" customHeight="1">
      <c r="A911" s="27"/>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9"/>
    </row>
    <row r="912" ht="15" customHeight="1">
      <c r="A912" s="27"/>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9"/>
    </row>
    <row r="913" ht="15" customHeight="1">
      <c r="A913" s="27"/>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9"/>
    </row>
    <row r="914" ht="15" customHeight="1">
      <c r="A914" s="27"/>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9"/>
    </row>
    <row r="915" ht="15" customHeight="1">
      <c r="A915" s="27"/>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9"/>
    </row>
    <row r="916" ht="15" customHeight="1">
      <c r="A916" s="27"/>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9"/>
    </row>
    <row r="917" ht="15" customHeight="1">
      <c r="A917" s="27"/>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9"/>
    </row>
    <row r="918" ht="15" customHeight="1">
      <c r="A918" s="27"/>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9"/>
    </row>
    <row r="919" ht="15" customHeight="1">
      <c r="A919" s="27"/>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9"/>
    </row>
    <row r="920" ht="15" customHeight="1">
      <c r="A920" s="27"/>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9"/>
    </row>
    <row r="921" ht="15" customHeight="1">
      <c r="A921" s="27"/>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9"/>
    </row>
    <row r="922" ht="15" customHeight="1">
      <c r="A922" s="27"/>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9"/>
    </row>
    <row r="923" ht="15" customHeight="1">
      <c r="A923" s="27"/>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9"/>
    </row>
    <row r="924" ht="15" customHeight="1">
      <c r="A924" s="27"/>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9"/>
    </row>
    <row r="925" ht="15" customHeight="1">
      <c r="A925" s="27"/>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9"/>
    </row>
    <row r="926" ht="15" customHeight="1">
      <c r="A926" s="27"/>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9"/>
    </row>
    <row r="927" ht="15" customHeight="1">
      <c r="A927" s="27"/>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9"/>
    </row>
    <row r="928" ht="15" customHeight="1">
      <c r="A928" s="27"/>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9"/>
    </row>
    <row r="929" ht="15" customHeight="1">
      <c r="A929" s="27"/>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9"/>
    </row>
    <row r="930" ht="15" customHeight="1">
      <c r="A930" s="27"/>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9"/>
    </row>
    <row r="931" ht="15" customHeight="1">
      <c r="A931" s="27"/>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9"/>
    </row>
    <row r="932" ht="15" customHeight="1">
      <c r="A932" s="27"/>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9"/>
    </row>
    <row r="933" ht="15" customHeight="1">
      <c r="A933" s="27"/>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9"/>
    </row>
    <row r="934" ht="15" customHeight="1">
      <c r="A934" s="27"/>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9"/>
    </row>
    <row r="935" ht="15" customHeight="1">
      <c r="A935" s="27"/>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9"/>
    </row>
    <row r="936" ht="15" customHeight="1">
      <c r="A936" s="27"/>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9"/>
    </row>
    <row r="937" ht="15" customHeight="1">
      <c r="A937" s="27"/>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9"/>
    </row>
    <row r="938" ht="15" customHeight="1">
      <c r="A938" s="27"/>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9"/>
    </row>
    <row r="939" ht="15" customHeight="1">
      <c r="A939" s="27"/>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9"/>
    </row>
    <row r="940" ht="15" customHeight="1">
      <c r="A940" s="27"/>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9"/>
    </row>
    <row r="941" ht="15" customHeight="1">
      <c r="A941" s="27"/>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9"/>
    </row>
    <row r="942" ht="15" customHeight="1">
      <c r="A942" s="27"/>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9"/>
    </row>
    <row r="943" ht="15" customHeight="1">
      <c r="A943" s="27"/>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9"/>
    </row>
    <row r="944" ht="15" customHeight="1">
      <c r="A944" s="27"/>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9"/>
    </row>
    <row r="945" ht="15" customHeight="1">
      <c r="A945" s="27"/>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9"/>
    </row>
    <row r="946" ht="15" customHeight="1">
      <c r="A946" s="27"/>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9"/>
    </row>
    <row r="947" ht="15" customHeight="1">
      <c r="A947" s="27"/>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9"/>
    </row>
    <row r="948" ht="15" customHeight="1">
      <c r="A948" s="27"/>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9"/>
    </row>
    <row r="949" ht="15" customHeight="1">
      <c r="A949" s="27"/>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9"/>
    </row>
    <row r="950" ht="15" customHeight="1">
      <c r="A950" s="27"/>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9"/>
    </row>
    <row r="951" ht="15" customHeight="1">
      <c r="A951" s="27"/>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9"/>
    </row>
    <row r="952" ht="15" customHeight="1">
      <c r="A952" s="27"/>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9"/>
    </row>
    <row r="953" ht="15" customHeight="1">
      <c r="A953" s="27"/>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9"/>
    </row>
    <row r="954" ht="15" customHeight="1">
      <c r="A954" s="27"/>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9"/>
    </row>
    <row r="955" ht="15" customHeight="1">
      <c r="A955" s="27"/>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9"/>
    </row>
    <row r="956" ht="15" customHeight="1">
      <c r="A956" s="27"/>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9"/>
    </row>
    <row r="957" ht="15" customHeight="1">
      <c r="A957" s="27"/>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9"/>
    </row>
    <row r="958" ht="15" customHeight="1">
      <c r="A958" s="27"/>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9"/>
    </row>
    <row r="959" ht="15" customHeight="1">
      <c r="A959" s="27"/>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9"/>
    </row>
    <row r="960" ht="15" customHeight="1">
      <c r="A960" s="27"/>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9"/>
    </row>
    <row r="961" ht="15" customHeight="1">
      <c r="A961" s="27"/>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9"/>
    </row>
    <row r="962" ht="15" customHeight="1">
      <c r="A962" s="27"/>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9"/>
    </row>
    <row r="963" ht="15" customHeight="1">
      <c r="A963" s="27"/>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9"/>
    </row>
    <row r="964" ht="15" customHeight="1">
      <c r="A964" s="27"/>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9"/>
    </row>
    <row r="965" ht="15" customHeight="1">
      <c r="A965" s="27"/>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9"/>
    </row>
    <row r="966" ht="15" customHeight="1">
      <c r="A966" s="27"/>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9"/>
    </row>
    <row r="967" ht="15" customHeight="1">
      <c r="A967" s="27"/>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9"/>
    </row>
    <row r="968" ht="15" customHeight="1">
      <c r="A968" s="27"/>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9"/>
    </row>
    <row r="969" ht="15" customHeight="1">
      <c r="A969" s="27"/>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9"/>
    </row>
    <row r="970" ht="15" customHeight="1">
      <c r="A970" s="27"/>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9"/>
    </row>
    <row r="971" ht="15" customHeight="1">
      <c r="A971" s="27"/>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9"/>
    </row>
    <row r="972" ht="15" customHeight="1">
      <c r="A972" s="27"/>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9"/>
    </row>
    <row r="973" ht="15" customHeight="1">
      <c r="A973" s="27"/>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9"/>
    </row>
    <row r="974" ht="15" customHeight="1">
      <c r="A974" s="27"/>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9"/>
    </row>
    <row r="975" ht="15" customHeight="1">
      <c r="A975" s="27"/>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9"/>
    </row>
    <row r="976" ht="15" customHeight="1">
      <c r="A976" s="27"/>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9"/>
    </row>
    <row r="977" ht="15" customHeight="1">
      <c r="A977" s="27"/>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9"/>
    </row>
    <row r="978" ht="15" customHeight="1">
      <c r="A978" s="27"/>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9"/>
    </row>
    <row r="979" ht="15" customHeight="1">
      <c r="A979" s="27"/>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9"/>
    </row>
    <row r="980" ht="15" customHeight="1">
      <c r="A980" s="27"/>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9"/>
    </row>
    <row r="981" ht="15" customHeight="1">
      <c r="A981" s="27"/>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9"/>
    </row>
    <row r="982" ht="15" customHeight="1">
      <c r="A982" s="27"/>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9"/>
    </row>
    <row r="983" ht="15" customHeight="1">
      <c r="A983" s="27"/>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9"/>
    </row>
    <row r="984" ht="15" customHeight="1">
      <c r="A984" s="27"/>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9"/>
    </row>
    <row r="985" ht="15" customHeight="1">
      <c r="A985" s="27"/>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9"/>
    </row>
    <row r="986" ht="15" customHeight="1">
      <c r="A986" s="27"/>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9"/>
    </row>
    <row r="987" ht="15" customHeight="1">
      <c r="A987" s="27"/>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9"/>
    </row>
    <row r="988" ht="15" customHeight="1">
      <c r="A988" s="27"/>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9"/>
    </row>
    <row r="989" ht="15" customHeight="1">
      <c r="A989" s="27"/>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9"/>
    </row>
    <row r="990" ht="15" customHeight="1">
      <c r="A990" s="27"/>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9"/>
    </row>
    <row r="991" ht="15" customHeight="1">
      <c r="A991" s="27"/>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9"/>
    </row>
    <row r="992" ht="15" customHeight="1">
      <c r="A992" s="27"/>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9"/>
    </row>
    <row r="993" ht="15" customHeight="1">
      <c r="A993" s="27"/>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9"/>
    </row>
    <row r="994" ht="15" customHeight="1">
      <c r="A994" s="27"/>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9"/>
    </row>
    <row r="995" ht="15" customHeight="1">
      <c r="A995" s="27"/>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9"/>
    </row>
    <row r="996" ht="15" customHeight="1">
      <c r="A996" s="27"/>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9"/>
    </row>
    <row r="997" ht="15" customHeight="1">
      <c r="A997" s="27"/>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9"/>
    </row>
    <row r="998" ht="15" customHeight="1">
      <c r="A998" s="27"/>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9"/>
    </row>
    <row r="999" ht="15" customHeight="1">
      <c r="A999" s="27"/>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9"/>
    </row>
    <row r="1000" ht="15" customHeight="1">
      <c r="A1000" s="27"/>
      <c r="B1000" s="18"/>
      <c r="C1000" s="18"/>
      <c r="D1000" s="18"/>
      <c r="E1000" s="18"/>
      <c r="F1000" s="18"/>
      <c r="G1000" s="18"/>
      <c r="H1000" s="18"/>
      <c r="I1000" s="18"/>
      <c r="J1000" s="18"/>
      <c r="K1000" s="18"/>
      <c r="L1000" s="18"/>
      <c r="M1000" s="18"/>
      <c r="N1000" s="18"/>
      <c r="O1000" s="18"/>
      <c r="P1000" s="18"/>
      <c r="Q1000" s="31"/>
      <c r="R1000" s="18"/>
      <c r="S1000" s="18"/>
      <c r="T1000" s="18"/>
      <c r="U1000" s="18"/>
      <c r="V1000" s="18"/>
      <c r="W1000" s="18"/>
      <c r="X1000" s="18"/>
      <c r="Y1000" s="19"/>
    </row>
    <row r="1001" ht="15" customHeight="1">
      <c r="A1001" s="27"/>
      <c r="B1001" s="18"/>
      <c r="C1001" s="18"/>
      <c r="D1001" s="18"/>
      <c r="E1001" s="18"/>
      <c r="F1001" s="18"/>
      <c r="G1001" s="18"/>
      <c r="H1001" s="18"/>
      <c r="I1001" s="18"/>
      <c r="J1001" s="18"/>
      <c r="K1001" s="18"/>
      <c r="L1001" s="18"/>
      <c r="M1001" s="18"/>
      <c r="N1001" s="18"/>
      <c r="O1001" s="18"/>
      <c r="P1001" s="18"/>
      <c r="Q1001" s="31"/>
      <c r="R1001" s="18"/>
      <c r="S1001" s="18"/>
      <c r="T1001" s="18"/>
      <c r="U1001" s="18"/>
      <c r="V1001" s="18"/>
      <c r="W1001" s="18"/>
      <c r="X1001" s="18"/>
      <c r="Y1001" s="19"/>
    </row>
    <row r="1002" ht="15" customHeight="1">
      <c r="A1002" s="27"/>
      <c r="B1002" s="18"/>
      <c r="C1002" s="18"/>
      <c r="D1002" s="18"/>
      <c r="E1002" s="18"/>
      <c r="F1002" s="18"/>
      <c r="G1002" s="18"/>
      <c r="H1002" s="18"/>
      <c r="I1002" s="18"/>
      <c r="J1002" s="18"/>
      <c r="K1002" s="18"/>
      <c r="L1002" s="18"/>
      <c r="M1002" s="18"/>
      <c r="N1002" s="18"/>
      <c r="O1002" s="18"/>
      <c r="P1002" s="18"/>
      <c r="Q1002" s="31"/>
      <c r="R1002" s="18"/>
      <c r="S1002" s="18"/>
      <c r="T1002" s="18"/>
      <c r="U1002" s="18"/>
      <c r="V1002" s="18"/>
      <c r="W1002" s="18"/>
      <c r="X1002" s="18"/>
      <c r="Y1002" s="19"/>
    </row>
    <row r="1003" ht="15" customHeight="1">
      <c r="A1003" s="27"/>
      <c r="B1003" s="18"/>
      <c r="C1003" s="18"/>
      <c r="D1003" s="18"/>
      <c r="E1003" s="18"/>
      <c r="F1003" s="18"/>
      <c r="G1003" s="18"/>
      <c r="H1003" s="18"/>
      <c r="I1003" s="18"/>
      <c r="J1003" s="18"/>
      <c r="K1003" s="18"/>
      <c r="L1003" s="18"/>
      <c r="M1003" s="18"/>
      <c r="N1003" s="18"/>
      <c r="O1003" s="18"/>
      <c r="P1003" s="18"/>
      <c r="Q1003" s="31"/>
      <c r="R1003" s="18"/>
      <c r="S1003" s="18"/>
      <c r="T1003" s="18"/>
      <c r="U1003" s="18"/>
      <c r="V1003" s="18"/>
      <c r="W1003" s="18"/>
      <c r="X1003" s="18"/>
      <c r="Y1003" s="19"/>
    </row>
    <row r="1004" ht="15" customHeight="1">
      <c r="A1004" s="27"/>
      <c r="B1004" s="18"/>
      <c r="C1004" s="18"/>
      <c r="D1004" s="18"/>
      <c r="E1004" s="18"/>
      <c r="F1004" s="18"/>
      <c r="G1004" s="18"/>
      <c r="H1004" s="18"/>
      <c r="I1004" s="18"/>
      <c r="J1004" s="18"/>
      <c r="K1004" s="18"/>
      <c r="L1004" s="18"/>
      <c r="M1004" s="18"/>
      <c r="N1004" s="18"/>
      <c r="O1004" s="18"/>
      <c r="P1004" s="18"/>
      <c r="Q1004" s="31"/>
      <c r="R1004" s="18"/>
      <c r="S1004" s="18"/>
      <c r="T1004" s="18"/>
      <c r="U1004" s="18"/>
      <c r="V1004" s="18"/>
      <c r="W1004" s="18"/>
      <c r="X1004" s="18"/>
      <c r="Y1004" s="19"/>
    </row>
    <row r="1005" ht="15" customHeight="1">
      <c r="A1005" s="27"/>
      <c r="B1005" s="18"/>
      <c r="C1005" s="18"/>
      <c r="D1005" s="18"/>
      <c r="E1005" s="18"/>
      <c r="F1005" s="18"/>
      <c r="G1005" s="18"/>
      <c r="H1005" s="18"/>
      <c r="I1005" s="18"/>
      <c r="J1005" s="18"/>
      <c r="K1005" s="18"/>
      <c r="L1005" s="18"/>
      <c r="M1005" s="18"/>
      <c r="N1005" s="18"/>
      <c r="O1005" s="18"/>
      <c r="P1005" s="18"/>
      <c r="Q1005" s="31"/>
      <c r="R1005" s="18"/>
      <c r="S1005" s="18"/>
      <c r="T1005" s="18"/>
      <c r="U1005" s="18"/>
      <c r="V1005" s="18"/>
      <c r="W1005" s="18"/>
      <c r="X1005" s="18"/>
      <c r="Y1005" s="19"/>
    </row>
    <row r="1006" ht="15" customHeight="1">
      <c r="A1006" s="27"/>
      <c r="B1006" s="18"/>
      <c r="C1006" s="18"/>
      <c r="D1006" s="18"/>
      <c r="E1006" s="18"/>
      <c r="F1006" s="18"/>
      <c r="G1006" s="18"/>
      <c r="H1006" s="18"/>
      <c r="I1006" s="18"/>
      <c r="J1006" s="18"/>
      <c r="K1006" s="18"/>
      <c r="L1006" s="18"/>
      <c r="M1006" s="18"/>
      <c r="N1006" s="18"/>
      <c r="O1006" s="18"/>
      <c r="P1006" s="18"/>
      <c r="Q1006" s="31"/>
      <c r="R1006" s="18"/>
      <c r="S1006" s="18"/>
      <c r="T1006" s="18"/>
      <c r="U1006" s="18"/>
      <c r="V1006" s="18"/>
      <c r="W1006" s="18"/>
      <c r="X1006" s="18"/>
      <c r="Y1006" s="19"/>
    </row>
    <row r="1007" ht="15" customHeight="1">
      <c r="A1007" s="27"/>
      <c r="B1007" s="18"/>
      <c r="C1007" s="18"/>
      <c r="D1007" s="18"/>
      <c r="E1007" s="18"/>
      <c r="F1007" s="18"/>
      <c r="G1007" s="18"/>
      <c r="H1007" s="18"/>
      <c r="I1007" s="18"/>
      <c r="J1007" s="18"/>
      <c r="K1007" s="18"/>
      <c r="L1007" s="18"/>
      <c r="M1007" s="18"/>
      <c r="N1007" s="18"/>
      <c r="O1007" s="18"/>
      <c r="P1007" s="18"/>
      <c r="Q1007" s="31"/>
      <c r="R1007" s="18"/>
      <c r="S1007" s="18"/>
      <c r="T1007" s="18"/>
      <c r="U1007" s="18"/>
      <c r="V1007" s="18"/>
      <c r="W1007" s="18"/>
      <c r="X1007" s="18"/>
      <c r="Y1007" s="19"/>
    </row>
    <row r="1008" ht="15" customHeight="1">
      <c r="A1008" s="27"/>
      <c r="B1008" s="18"/>
      <c r="C1008" s="18"/>
      <c r="D1008" s="18"/>
      <c r="E1008" s="18"/>
      <c r="F1008" s="18"/>
      <c r="G1008" s="18"/>
      <c r="H1008" s="18"/>
      <c r="I1008" s="18"/>
      <c r="J1008" s="18"/>
      <c r="K1008" s="18"/>
      <c r="L1008" s="18"/>
      <c r="M1008" s="18"/>
      <c r="N1008" s="18"/>
      <c r="O1008" s="18"/>
      <c r="P1008" s="18"/>
      <c r="Q1008" s="31"/>
      <c r="R1008" s="18"/>
      <c r="S1008" s="18"/>
      <c r="T1008" s="18"/>
      <c r="U1008" s="18"/>
      <c r="V1008" s="18"/>
      <c r="W1008" s="18"/>
      <c r="X1008" s="18"/>
      <c r="Y1008" s="19"/>
    </row>
    <row r="1009" ht="15" customHeight="1">
      <c r="A1009" s="27"/>
      <c r="B1009" s="18"/>
      <c r="C1009" s="18"/>
      <c r="D1009" s="18"/>
      <c r="E1009" s="18"/>
      <c r="F1009" s="18"/>
      <c r="G1009" s="18"/>
      <c r="H1009" s="18"/>
      <c r="I1009" s="18"/>
      <c r="J1009" s="18"/>
      <c r="K1009" s="18"/>
      <c r="L1009" s="18"/>
      <c r="M1009" s="18"/>
      <c r="N1009" s="18"/>
      <c r="O1009" s="18"/>
      <c r="P1009" s="18"/>
      <c r="Q1009" s="31"/>
      <c r="R1009" s="18"/>
      <c r="S1009" s="18"/>
      <c r="T1009" s="18"/>
      <c r="U1009" s="18"/>
      <c r="V1009" s="18"/>
      <c r="W1009" s="18"/>
      <c r="X1009" s="18"/>
      <c r="Y1009" s="19"/>
    </row>
    <row r="1010" ht="15" customHeight="1">
      <c r="A1010" s="27"/>
      <c r="B1010" s="18"/>
      <c r="C1010" s="18"/>
      <c r="D1010" s="18"/>
      <c r="E1010" s="18"/>
      <c r="F1010" s="18"/>
      <c r="G1010" s="18"/>
      <c r="H1010" s="18"/>
      <c r="I1010" s="18"/>
      <c r="J1010" s="18"/>
      <c r="K1010" s="18"/>
      <c r="L1010" s="18"/>
      <c r="M1010" s="18"/>
      <c r="N1010" s="18"/>
      <c r="O1010" s="18"/>
      <c r="P1010" s="18"/>
      <c r="Q1010" s="31"/>
      <c r="R1010" s="18"/>
      <c r="S1010" s="18"/>
      <c r="T1010" s="18"/>
      <c r="U1010" s="18"/>
      <c r="V1010" s="18"/>
      <c r="W1010" s="18"/>
      <c r="X1010" s="18"/>
      <c r="Y1010" s="19"/>
    </row>
    <row r="1011" ht="15" customHeight="1">
      <c r="A1011" s="27"/>
      <c r="B1011" s="18"/>
      <c r="C1011" s="18"/>
      <c r="D1011" s="18"/>
      <c r="E1011" s="18"/>
      <c r="F1011" s="18"/>
      <c r="G1011" s="18"/>
      <c r="H1011" s="18"/>
      <c r="I1011" s="18"/>
      <c r="J1011" s="18"/>
      <c r="K1011" s="18"/>
      <c r="L1011" s="18"/>
      <c r="M1011" s="18"/>
      <c r="N1011" s="18"/>
      <c r="O1011" s="18"/>
      <c r="P1011" s="18"/>
      <c r="Q1011" s="31"/>
      <c r="R1011" s="18"/>
      <c r="S1011" s="18"/>
      <c r="T1011" s="18"/>
      <c r="U1011" s="18"/>
      <c r="V1011" s="18"/>
      <c r="W1011" s="18"/>
      <c r="X1011" s="18"/>
      <c r="Y1011" s="19"/>
    </row>
    <row r="1012" ht="15" customHeight="1">
      <c r="A1012" s="27"/>
      <c r="B1012" s="18"/>
      <c r="C1012" s="18"/>
      <c r="D1012" s="18"/>
      <c r="E1012" s="18"/>
      <c r="F1012" s="18"/>
      <c r="G1012" s="18"/>
      <c r="H1012" s="18"/>
      <c r="I1012" s="18"/>
      <c r="J1012" s="18"/>
      <c r="K1012" s="18"/>
      <c r="L1012" s="18"/>
      <c r="M1012" s="18"/>
      <c r="N1012" s="18"/>
      <c r="O1012" s="18"/>
      <c r="P1012" s="18"/>
      <c r="Q1012" s="31"/>
      <c r="R1012" s="18"/>
      <c r="S1012" s="18"/>
      <c r="T1012" s="18"/>
      <c r="U1012" s="18"/>
      <c r="V1012" s="18"/>
      <c r="W1012" s="18"/>
      <c r="X1012" s="18"/>
      <c r="Y1012" s="19"/>
    </row>
    <row r="1013" ht="15" customHeight="1">
      <c r="A1013" s="27"/>
      <c r="B1013" s="18"/>
      <c r="C1013" s="18"/>
      <c r="D1013" s="18"/>
      <c r="E1013" s="18"/>
      <c r="F1013" s="18"/>
      <c r="G1013" s="18"/>
      <c r="H1013" s="18"/>
      <c r="I1013" s="18"/>
      <c r="J1013" s="18"/>
      <c r="K1013" s="18"/>
      <c r="L1013" s="18"/>
      <c r="M1013" s="18"/>
      <c r="N1013" s="18"/>
      <c r="O1013" s="18"/>
      <c r="P1013" s="18"/>
      <c r="Q1013" s="31"/>
      <c r="R1013" s="18"/>
      <c r="S1013" s="18"/>
      <c r="T1013" s="18"/>
      <c r="U1013" s="18"/>
      <c r="V1013" s="18"/>
      <c r="W1013" s="18"/>
      <c r="X1013" s="18"/>
      <c r="Y1013" s="19"/>
    </row>
    <row r="1014" ht="15" customHeight="1">
      <c r="A1014" s="27"/>
      <c r="B1014" s="18"/>
      <c r="C1014" s="18"/>
      <c r="D1014" s="18"/>
      <c r="E1014" s="18"/>
      <c r="F1014" s="18"/>
      <c r="G1014" s="18"/>
      <c r="H1014" s="18"/>
      <c r="I1014" s="18"/>
      <c r="J1014" s="18"/>
      <c r="K1014" s="18"/>
      <c r="L1014" s="18"/>
      <c r="M1014" s="18"/>
      <c r="N1014" s="18"/>
      <c r="O1014" s="18"/>
      <c r="P1014" s="18"/>
      <c r="Q1014" s="31"/>
      <c r="R1014" s="18"/>
      <c r="S1014" s="18"/>
      <c r="T1014" s="18"/>
      <c r="U1014" s="18"/>
      <c r="V1014" s="18"/>
      <c r="W1014" s="18"/>
      <c r="X1014" s="18"/>
      <c r="Y1014" s="19"/>
    </row>
    <row r="1015" ht="15" customHeight="1">
      <c r="A1015" s="27"/>
      <c r="B1015" s="18"/>
      <c r="C1015" s="18"/>
      <c r="D1015" s="18"/>
      <c r="E1015" s="18"/>
      <c r="F1015" s="18"/>
      <c r="G1015" s="18"/>
      <c r="H1015" s="18"/>
      <c r="I1015" s="18"/>
      <c r="J1015" s="18"/>
      <c r="K1015" s="18"/>
      <c r="L1015" s="18"/>
      <c r="M1015" s="18"/>
      <c r="N1015" s="18"/>
      <c r="O1015" s="18"/>
      <c r="P1015" s="18"/>
      <c r="Q1015" s="31"/>
      <c r="R1015" s="18"/>
      <c r="S1015" s="18"/>
      <c r="T1015" s="18"/>
      <c r="U1015" s="18"/>
      <c r="V1015" s="18"/>
      <c r="W1015" s="18"/>
      <c r="X1015" s="18"/>
      <c r="Y1015" s="19"/>
    </row>
    <row r="1016" ht="15" customHeight="1">
      <c r="A1016" s="27"/>
      <c r="B1016" s="18"/>
      <c r="C1016" s="18"/>
      <c r="D1016" s="18"/>
      <c r="E1016" s="18"/>
      <c r="F1016" s="18"/>
      <c r="G1016" s="18"/>
      <c r="H1016" s="18"/>
      <c r="I1016" s="18"/>
      <c r="J1016" s="18"/>
      <c r="K1016" s="18"/>
      <c r="L1016" s="18"/>
      <c r="M1016" s="18"/>
      <c r="N1016" s="18"/>
      <c r="O1016" s="18"/>
      <c r="P1016" s="18"/>
      <c r="Q1016" s="31"/>
      <c r="R1016" s="18"/>
      <c r="S1016" s="18"/>
      <c r="T1016" s="18"/>
      <c r="U1016" s="18"/>
      <c r="V1016" s="18"/>
      <c r="W1016" s="18"/>
      <c r="X1016" s="18"/>
      <c r="Y1016" s="19"/>
    </row>
    <row r="1017" ht="15" customHeight="1">
      <c r="A1017" s="27"/>
      <c r="B1017" s="18"/>
      <c r="C1017" s="18"/>
      <c r="D1017" s="18"/>
      <c r="E1017" s="18"/>
      <c r="F1017" s="18"/>
      <c r="G1017" s="18"/>
      <c r="H1017" s="18"/>
      <c r="I1017" s="18"/>
      <c r="J1017" s="18"/>
      <c r="K1017" s="18"/>
      <c r="L1017" s="18"/>
      <c r="M1017" s="18"/>
      <c r="N1017" s="18"/>
      <c r="O1017" s="18"/>
      <c r="P1017" s="18"/>
      <c r="Q1017" s="31"/>
      <c r="R1017" s="18"/>
      <c r="S1017" s="18"/>
      <c r="T1017" s="18"/>
      <c r="U1017" s="18"/>
      <c r="V1017" s="18"/>
      <c r="W1017" s="18"/>
      <c r="X1017" s="18"/>
      <c r="Y1017" s="19"/>
    </row>
    <row r="1018" ht="15" customHeight="1">
      <c r="A1018" s="27"/>
      <c r="B1018" s="18"/>
      <c r="C1018" s="18"/>
      <c r="D1018" s="18"/>
      <c r="E1018" s="18"/>
      <c r="F1018" s="18"/>
      <c r="G1018" s="18"/>
      <c r="H1018" s="18"/>
      <c r="I1018" s="18"/>
      <c r="J1018" s="18"/>
      <c r="K1018" s="18"/>
      <c r="L1018" s="18"/>
      <c r="M1018" s="18"/>
      <c r="N1018" s="18"/>
      <c r="O1018" s="18"/>
      <c r="P1018" s="18"/>
      <c r="Q1018" s="31"/>
      <c r="R1018" s="18"/>
      <c r="S1018" s="18"/>
      <c r="T1018" s="18"/>
      <c r="U1018" s="18"/>
      <c r="V1018" s="18"/>
      <c r="W1018" s="18"/>
      <c r="X1018" s="18"/>
      <c r="Y1018" s="19"/>
    </row>
    <row r="1019" ht="15" customHeight="1">
      <c r="A1019" s="27"/>
      <c r="B1019" s="18"/>
      <c r="C1019" s="18"/>
      <c r="D1019" s="18"/>
      <c r="E1019" s="18"/>
      <c r="F1019" s="18"/>
      <c r="G1019" s="18"/>
      <c r="H1019" s="18"/>
      <c r="I1019" s="18"/>
      <c r="J1019" s="18"/>
      <c r="K1019" s="18"/>
      <c r="L1019" s="18"/>
      <c r="M1019" s="18"/>
      <c r="N1019" s="18"/>
      <c r="O1019" s="18"/>
      <c r="P1019" s="18"/>
      <c r="Q1019" s="31"/>
      <c r="R1019" s="18"/>
      <c r="S1019" s="18"/>
      <c r="T1019" s="18"/>
      <c r="U1019" s="18"/>
      <c r="V1019" s="18"/>
      <c r="W1019" s="18"/>
      <c r="X1019" s="18"/>
      <c r="Y1019" s="19"/>
    </row>
    <row r="1020" ht="15" customHeight="1">
      <c r="A1020" s="27"/>
      <c r="B1020" s="18"/>
      <c r="C1020" s="18"/>
      <c r="D1020" s="18"/>
      <c r="E1020" s="18"/>
      <c r="F1020" s="18"/>
      <c r="G1020" s="18"/>
      <c r="H1020" s="18"/>
      <c r="I1020" s="18"/>
      <c r="J1020" s="18"/>
      <c r="K1020" s="18"/>
      <c r="L1020" s="18"/>
      <c r="M1020" s="18"/>
      <c r="N1020" s="18"/>
      <c r="O1020" s="18"/>
      <c r="P1020" s="18"/>
      <c r="Q1020" s="31"/>
      <c r="R1020" s="18"/>
      <c r="S1020" s="18"/>
      <c r="T1020" s="18"/>
      <c r="U1020" s="18"/>
      <c r="V1020" s="18"/>
      <c r="W1020" s="18"/>
      <c r="X1020" s="18"/>
      <c r="Y1020" s="19"/>
    </row>
    <row r="1021" ht="15" customHeight="1">
      <c r="A1021" s="27"/>
      <c r="B1021" s="18"/>
      <c r="C1021" s="18"/>
      <c r="D1021" s="18"/>
      <c r="E1021" s="18"/>
      <c r="F1021" s="18"/>
      <c r="G1021" s="18"/>
      <c r="H1021" s="18"/>
      <c r="I1021" s="18"/>
      <c r="J1021" s="18"/>
      <c r="K1021" s="18"/>
      <c r="L1021" s="18"/>
      <c r="M1021" s="18"/>
      <c r="N1021" s="18"/>
      <c r="O1021" s="18"/>
      <c r="P1021" s="18"/>
      <c r="Q1021" s="31"/>
      <c r="R1021" s="18"/>
      <c r="S1021" s="18"/>
      <c r="T1021" s="18"/>
      <c r="U1021" s="18"/>
      <c r="V1021" s="18"/>
      <c r="W1021" s="18"/>
      <c r="X1021" s="18"/>
      <c r="Y1021" s="19"/>
    </row>
    <row r="1022" ht="15" customHeight="1">
      <c r="A1022" s="27"/>
      <c r="B1022" s="18"/>
      <c r="C1022" s="18"/>
      <c r="D1022" s="18"/>
      <c r="E1022" s="18"/>
      <c r="F1022" s="18"/>
      <c r="G1022" s="18"/>
      <c r="H1022" s="18"/>
      <c r="I1022" s="18"/>
      <c r="J1022" s="18"/>
      <c r="K1022" s="18"/>
      <c r="L1022" s="18"/>
      <c r="M1022" s="18"/>
      <c r="N1022" s="18"/>
      <c r="O1022" s="18"/>
      <c r="P1022" s="18"/>
      <c r="Q1022" s="31"/>
      <c r="R1022" s="18"/>
      <c r="S1022" s="18"/>
      <c r="T1022" s="18"/>
      <c r="U1022" s="18"/>
      <c r="V1022" s="18"/>
      <c r="W1022" s="18"/>
      <c r="X1022" s="18"/>
      <c r="Y1022" s="19"/>
    </row>
    <row r="1023" ht="15" customHeight="1">
      <c r="A1023" s="27"/>
      <c r="B1023" s="18"/>
      <c r="C1023" s="18"/>
      <c r="D1023" s="18"/>
      <c r="E1023" s="18"/>
      <c r="F1023" s="18"/>
      <c r="G1023" s="18"/>
      <c r="H1023" s="18"/>
      <c r="I1023" s="18"/>
      <c r="J1023" s="18"/>
      <c r="K1023" s="18"/>
      <c r="L1023" s="18"/>
      <c r="M1023" s="18"/>
      <c r="N1023" s="18"/>
      <c r="O1023" s="18"/>
      <c r="P1023" s="18"/>
      <c r="Q1023" s="31"/>
      <c r="R1023" s="18"/>
      <c r="S1023" s="18"/>
      <c r="T1023" s="18"/>
      <c r="U1023" s="18"/>
      <c r="V1023" s="18"/>
      <c r="W1023" s="18"/>
      <c r="X1023" s="18"/>
      <c r="Y1023" s="19"/>
    </row>
    <row r="1024" ht="15" customHeight="1">
      <c r="A1024" s="27"/>
      <c r="B1024" s="18"/>
      <c r="C1024" s="18"/>
      <c r="D1024" s="18"/>
      <c r="E1024" s="18"/>
      <c r="F1024" s="18"/>
      <c r="G1024" s="18"/>
      <c r="H1024" s="18"/>
      <c r="I1024" s="18"/>
      <c r="J1024" s="18"/>
      <c r="K1024" s="18"/>
      <c r="L1024" s="18"/>
      <c r="M1024" s="18"/>
      <c r="N1024" s="18"/>
      <c r="O1024" s="18"/>
      <c r="P1024" s="18"/>
      <c r="Q1024" s="31"/>
      <c r="R1024" s="18"/>
      <c r="S1024" s="18"/>
      <c r="T1024" s="18"/>
      <c r="U1024" s="18"/>
      <c r="V1024" s="18"/>
      <c r="W1024" s="18"/>
      <c r="X1024" s="18"/>
      <c r="Y1024" s="19"/>
    </row>
    <row r="1025" ht="15" customHeight="1">
      <c r="A1025" s="103"/>
      <c r="B1025" s="18"/>
      <c r="C1025" s="18"/>
      <c r="D1025" s="18"/>
      <c r="E1025" s="18"/>
      <c r="F1025" s="18"/>
      <c r="G1025" s="18"/>
      <c r="H1025" s="18"/>
      <c r="I1025" s="18"/>
      <c r="J1025" s="18"/>
      <c r="K1025" s="18"/>
      <c r="L1025" s="18"/>
      <c r="M1025" s="18"/>
      <c r="N1025" s="18"/>
      <c r="O1025" s="31"/>
      <c r="P1025" s="18"/>
      <c r="Q1025" s="31"/>
      <c r="R1025" s="31"/>
      <c r="S1025" s="31"/>
      <c r="T1025" s="31"/>
      <c r="U1025" s="31"/>
      <c r="V1025" s="31"/>
      <c r="W1025" s="31"/>
      <c r="X1025" s="31"/>
      <c r="Y1025" s="45"/>
    </row>
    <row r="1026" ht="15" customHeight="1">
      <c r="A1026" s="103"/>
      <c r="B1026" s="18"/>
      <c r="C1026" s="18"/>
      <c r="D1026" s="18"/>
      <c r="E1026" s="18"/>
      <c r="F1026" s="18"/>
      <c r="G1026" s="18"/>
      <c r="H1026" s="18"/>
      <c r="I1026" s="18"/>
      <c r="J1026" s="18"/>
      <c r="K1026" s="18"/>
      <c r="L1026" s="18"/>
      <c r="M1026" s="18"/>
      <c r="N1026" s="18"/>
      <c r="O1026" s="31"/>
      <c r="P1026" s="18"/>
      <c r="Q1026" s="31"/>
      <c r="R1026" s="31"/>
      <c r="S1026" s="31"/>
      <c r="T1026" s="31"/>
      <c r="U1026" s="31"/>
      <c r="V1026" s="31"/>
      <c r="W1026" s="31"/>
      <c r="X1026" s="31"/>
      <c r="Y1026" s="45"/>
    </row>
    <row r="1027" ht="15" customHeight="1">
      <c r="A1027" s="103"/>
      <c r="B1027" s="18"/>
      <c r="C1027" s="18"/>
      <c r="D1027" s="18"/>
      <c r="E1027" s="18"/>
      <c r="F1027" s="18"/>
      <c r="G1027" s="18"/>
      <c r="H1027" s="18"/>
      <c r="I1027" s="18"/>
      <c r="J1027" s="18"/>
      <c r="K1027" s="18"/>
      <c r="L1027" s="18"/>
      <c r="M1027" s="18"/>
      <c r="N1027" s="18"/>
      <c r="O1027" s="31"/>
      <c r="P1027" s="18"/>
      <c r="Q1027" s="31"/>
      <c r="R1027" s="31"/>
      <c r="S1027" s="31"/>
      <c r="T1027" s="31"/>
      <c r="U1027" s="31"/>
      <c r="V1027" s="31"/>
      <c r="W1027" s="31"/>
      <c r="X1027" s="31"/>
      <c r="Y1027" s="45"/>
    </row>
    <row r="1028" ht="15" customHeight="1">
      <c r="A1028" s="103"/>
      <c r="B1028" s="18"/>
      <c r="C1028" s="18"/>
      <c r="D1028" s="18"/>
      <c r="E1028" s="18"/>
      <c r="F1028" s="18"/>
      <c r="G1028" s="18"/>
      <c r="H1028" s="18"/>
      <c r="I1028" s="18"/>
      <c r="J1028" s="18"/>
      <c r="K1028" s="18"/>
      <c r="L1028" s="18"/>
      <c r="M1028" s="18"/>
      <c r="N1028" s="18"/>
      <c r="O1028" s="31"/>
      <c r="P1028" s="18"/>
      <c r="Q1028" s="31"/>
      <c r="R1028" s="31"/>
      <c r="S1028" s="31"/>
      <c r="T1028" s="31"/>
      <c r="U1028" s="31"/>
      <c r="V1028" s="31"/>
      <c r="W1028" s="31"/>
      <c r="X1028" s="31"/>
      <c r="Y1028" s="45"/>
    </row>
    <row r="1029" ht="15" customHeight="1">
      <c r="A1029" s="103"/>
      <c r="B1029" s="18"/>
      <c r="C1029" s="18"/>
      <c r="D1029" s="18"/>
      <c r="E1029" s="18"/>
      <c r="F1029" s="18"/>
      <c r="G1029" s="18"/>
      <c r="H1029" s="18"/>
      <c r="I1029" s="18"/>
      <c r="J1029" s="18"/>
      <c r="K1029" s="18"/>
      <c r="L1029" s="18"/>
      <c r="M1029" s="18"/>
      <c r="N1029" s="18"/>
      <c r="O1029" s="31"/>
      <c r="P1029" s="18"/>
      <c r="Q1029" s="31"/>
      <c r="R1029" s="31"/>
      <c r="S1029" s="31"/>
      <c r="T1029" s="31"/>
      <c r="U1029" s="31"/>
      <c r="V1029" s="31"/>
      <c r="W1029" s="31"/>
      <c r="X1029" s="31"/>
      <c r="Y1029" s="45"/>
    </row>
    <row r="1030" ht="15" customHeight="1">
      <c r="A1030" s="103"/>
      <c r="B1030" s="18"/>
      <c r="C1030" s="18"/>
      <c r="D1030" s="18"/>
      <c r="E1030" s="18"/>
      <c r="F1030" s="18"/>
      <c r="G1030" s="18"/>
      <c r="H1030" s="18"/>
      <c r="I1030" s="18"/>
      <c r="J1030" s="18"/>
      <c r="K1030" s="18"/>
      <c r="L1030" s="18"/>
      <c r="M1030" s="18"/>
      <c r="N1030" s="18"/>
      <c r="O1030" s="31"/>
      <c r="P1030" s="18"/>
      <c r="Q1030" s="31"/>
      <c r="R1030" s="31"/>
      <c r="S1030" s="31"/>
      <c r="T1030" s="31"/>
      <c r="U1030" s="31"/>
      <c r="V1030" s="31"/>
      <c r="W1030" s="31"/>
      <c r="X1030" s="31"/>
      <c r="Y1030" s="45"/>
    </row>
    <row r="1031" ht="15" customHeight="1">
      <c r="A1031" s="103"/>
      <c r="B1031" s="18"/>
      <c r="C1031" s="18"/>
      <c r="D1031" s="18"/>
      <c r="E1031" s="18"/>
      <c r="F1031" s="18"/>
      <c r="G1031" s="18"/>
      <c r="H1031" s="18"/>
      <c r="I1031" s="18"/>
      <c r="J1031" s="18"/>
      <c r="K1031" s="18"/>
      <c r="L1031" s="18"/>
      <c r="M1031" s="18"/>
      <c r="N1031" s="18"/>
      <c r="O1031" s="31"/>
      <c r="P1031" s="18"/>
      <c r="Q1031" s="31"/>
      <c r="R1031" s="31"/>
      <c r="S1031" s="31"/>
      <c r="T1031" s="31"/>
      <c r="U1031" s="31"/>
      <c r="V1031" s="31"/>
      <c r="W1031" s="31"/>
      <c r="X1031" s="31"/>
      <c r="Y1031" s="45"/>
    </row>
    <row r="1032" ht="15" customHeight="1">
      <c r="A1032" s="103"/>
      <c r="B1032" s="18"/>
      <c r="C1032" s="18"/>
      <c r="D1032" s="18"/>
      <c r="E1032" s="18"/>
      <c r="F1032" s="18"/>
      <c r="G1032" s="18"/>
      <c r="H1032" s="18"/>
      <c r="I1032" s="18"/>
      <c r="J1032" s="18"/>
      <c r="K1032" s="18"/>
      <c r="L1032" s="18"/>
      <c r="M1032" s="18"/>
      <c r="N1032" s="18"/>
      <c r="O1032" s="31"/>
      <c r="P1032" s="18"/>
      <c r="Q1032" s="31"/>
      <c r="R1032" s="31"/>
      <c r="S1032" s="31"/>
      <c r="T1032" s="31"/>
      <c r="U1032" s="31"/>
      <c r="V1032" s="31"/>
      <c r="W1032" s="31"/>
      <c r="X1032" s="31"/>
      <c r="Y1032" s="45"/>
    </row>
    <row r="1033" ht="15" customHeight="1">
      <c r="A1033" s="103"/>
      <c r="B1033" s="18"/>
      <c r="C1033" s="18"/>
      <c r="D1033" s="18"/>
      <c r="E1033" s="18"/>
      <c r="F1033" s="18"/>
      <c r="G1033" s="18"/>
      <c r="H1033" s="18"/>
      <c r="I1033" s="18"/>
      <c r="J1033" s="18"/>
      <c r="K1033" s="18"/>
      <c r="L1033" s="18"/>
      <c r="M1033" s="18"/>
      <c r="N1033" s="18"/>
      <c r="O1033" s="31"/>
      <c r="P1033" s="18"/>
      <c r="Q1033" s="31"/>
      <c r="R1033" s="31"/>
      <c r="S1033" s="31"/>
      <c r="T1033" s="31"/>
      <c r="U1033" s="31"/>
      <c r="V1033" s="31"/>
      <c r="W1033" s="31"/>
      <c r="X1033" s="31"/>
      <c r="Y1033" s="45"/>
    </row>
    <row r="1034" ht="15" customHeight="1">
      <c r="A1034" s="103"/>
      <c r="B1034" s="18"/>
      <c r="C1034" s="18"/>
      <c r="D1034" s="18"/>
      <c r="E1034" s="18"/>
      <c r="F1034" s="18"/>
      <c r="G1034" s="18"/>
      <c r="H1034" s="18"/>
      <c r="I1034" s="18"/>
      <c r="J1034" s="18"/>
      <c r="K1034" s="18"/>
      <c r="L1034" s="18"/>
      <c r="M1034" s="18"/>
      <c r="N1034" s="18"/>
      <c r="O1034" s="31"/>
      <c r="P1034" s="18"/>
      <c r="Q1034" s="31"/>
      <c r="R1034" s="31"/>
      <c r="S1034" s="31"/>
      <c r="T1034" s="31"/>
      <c r="U1034" s="31"/>
      <c r="V1034" s="31"/>
      <c r="W1034" s="31"/>
      <c r="X1034" s="31"/>
      <c r="Y1034" s="45"/>
    </row>
    <row r="1035" ht="15" customHeight="1">
      <c r="A1035" s="103"/>
      <c r="B1035" s="18"/>
      <c r="C1035" s="18"/>
      <c r="D1035" s="18"/>
      <c r="E1035" s="18"/>
      <c r="F1035" s="18"/>
      <c r="G1035" s="18"/>
      <c r="H1035" s="18"/>
      <c r="I1035" s="18"/>
      <c r="J1035" s="18"/>
      <c r="K1035" s="18"/>
      <c r="L1035" s="18"/>
      <c r="M1035" s="18"/>
      <c r="N1035" s="18"/>
      <c r="O1035" s="31"/>
      <c r="P1035" s="18"/>
      <c r="Q1035" s="31"/>
      <c r="R1035" s="31"/>
      <c r="S1035" s="31"/>
      <c r="T1035" s="31"/>
      <c r="U1035" s="31"/>
      <c r="V1035" s="31"/>
      <c r="W1035" s="31"/>
      <c r="X1035" s="31"/>
      <c r="Y1035" s="45"/>
    </row>
    <row r="1036" ht="15" customHeight="1">
      <c r="A1036" s="103"/>
      <c r="B1036" s="18"/>
      <c r="C1036" s="18"/>
      <c r="D1036" s="18"/>
      <c r="E1036" s="18"/>
      <c r="F1036" s="18"/>
      <c r="G1036" s="18"/>
      <c r="H1036" s="18"/>
      <c r="I1036" s="18"/>
      <c r="J1036" s="18"/>
      <c r="K1036" s="18"/>
      <c r="L1036" s="18"/>
      <c r="M1036" s="18"/>
      <c r="N1036" s="18"/>
      <c r="O1036" s="31"/>
      <c r="P1036" s="18"/>
      <c r="Q1036" s="31"/>
      <c r="R1036" s="31"/>
      <c r="S1036" s="31"/>
      <c r="T1036" s="31"/>
      <c r="U1036" s="31"/>
      <c r="V1036" s="31"/>
      <c r="W1036" s="31"/>
      <c r="X1036" s="31"/>
      <c r="Y1036" s="45"/>
    </row>
    <row r="1037" ht="15" customHeight="1">
      <c r="A1037" s="103"/>
      <c r="B1037" s="18"/>
      <c r="C1037" s="18"/>
      <c r="D1037" s="18"/>
      <c r="E1037" s="18"/>
      <c r="F1037" s="18"/>
      <c r="G1037" s="18"/>
      <c r="H1037" s="18"/>
      <c r="I1037" s="18"/>
      <c r="J1037" s="18"/>
      <c r="K1037" s="18"/>
      <c r="L1037" s="18"/>
      <c r="M1037" s="18"/>
      <c r="N1037" s="18"/>
      <c r="O1037" s="31"/>
      <c r="P1037" s="18"/>
      <c r="Q1037" s="31"/>
      <c r="R1037" s="31"/>
      <c r="S1037" s="31"/>
      <c r="T1037" s="31"/>
      <c r="U1037" s="31"/>
      <c r="V1037" s="31"/>
      <c r="W1037" s="31"/>
      <c r="X1037" s="31"/>
      <c r="Y1037" s="45"/>
    </row>
    <row r="1038" ht="15" customHeight="1">
      <c r="A1038" s="103"/>
      <c r="B1038" s="18"/>
      <c r="C1038" s="18"/>
      <c r="D1038" s="18"/>
      <c r="E1038" s="18"/>
      <c r="F1038" s="18"/>
      <c r="G1038" s="18"/>
      <c r="H1038" s="18"/>
      <c r="I1038" s="18"/>
      <c r="J1038" s="18"/>
      <c r="K1038" s="18"/>
      <c r="L1038" s="18"/>
      <c r="M1038" s="18"/>
      <c r="N1038" s="18"/>
      <c r="O1038" s="31"/>
      <c r="P1038" s="18"/>
      <c r="Q1038" s="31"/>
      <c r="R1038" s="31"/>
      <c r="S1038" s="31"/>
      <c r="T1038" s="31"/>
      <c r="U1038" s="31"/>
      <c r="V1038" s="31"/>
      <c r="W1038" s="31"/>
      <c r="X1038" s="31"/>
      <c r="Y1038" s="45"/>
    </row>
    <row r="1039" ht="15" customHeight="1">
      <c r="A1039" s="103"/>
      <c r="B1039" s="18"/>
      <c r="C1039" s="18"/>
      <c r="D1039" s="18"/>
      <c r="E1039" s="18"/>
      <c r="F1039" s="18"/>
      <c r="G1039" s="18"/>
      <c r="H1039" s="18"/>
      <c r="I1039" s="18"/>
      <c r="J1039" s="18"/>
      <c r="K1039" s="18"/>
      <c r="L1039" s="18"/>
      <c r="M1039" s="18"/>
      <c r="N1039" s="18"/>
      <c r="O1039" s="31"/>
      <c r="P1039" s="18"/>
      <c r="Q1039" s="31"/>
      <c r="R1039" s="31"/>
      <c r="S1039" s="31"/>
      <c r="T1039" s="31"/>
      <c r="U1039" s="31"/>
      <c r="V1039" s="31"/>
      <c r="W1039" s="31"/>
      <c r="X1039" s="31"/>
      <c r="Y1039" s="45"/>
    </row>
    <row r="1040" ht="15" customHeight="1">
      <c r="A1040" s="103"/>
      <c r="B1040" s="18"/>
      <c r="C1040" s="18"/>
      <c r="D1040" s="18"/>
      <c r="E1040" s="18"/>
      <c r="F1040" s="18"/>
      <c r="G1040" s="18"/>
      <c r="H1040" s="18"/>
      <c r="I1040" s="18"/>
      <c r="J1040" s="18"/>
      <c r="K1040" s="18"/>
      <c r="L1040" s="18"/>
      <c r="M1040" s="18"/>
      <c r="N1040" s="18"/>
      <c r="O1040" s="31"/>
      <c r="P1040" s="18"/>
      <c r="Q1040" s="31"/>
      <c r="R1040" s="31"/>
      <c r="S1040" s="31"/>
      <c r="T1040" s="31"/>
      <c r="U1040" s="31"/>
      <c r="V1040" s="31"/>
      <c r="W1040" s="31"/>
      <c r="X1040" s="31"/>
      <c r="Y1040" s="45"/>
    </row>
    <row r="1041" ht="15" customHeight="1">
      <c r="A1041" s="103"/>
      <c r="B1041" s="18"/>
      <c r="C1041" s="18"/>
      <c r="D1041" s="18"/>
      <c r="E1041" s="18"/>
      <c r="F1041" s="18"/>
      <c r="G1041" s="18"/>
      <c r="H1041" s="18"/>
      <c r="I1041" s="18"/>
      <c r="J1041" s="18"/>
      <c r="K1041" s="18"/>
      <c r="L1041" s="18"/>
      <c r="M1041" s="18"/>
      <c r="N1041" s="18"/>
      <c r="O1041" s="31"/>
      <c r="P1041" s="18"/>
      <c r="Q1041" s="31"/>
      <c r="R1041" s="31"/>
      <c r="S1041" s="31"/>
      <c r="T1041" s="31"/>
      <c r="U1041" s="31"/>
      <c r="V1041" s="31"/>
      <c r="W1041" s="31"/>
      <c r="X1041" s="31"/>
      <c r="Y1041" s="45"/>
    </row>
    <row r="1042" ht="15" customHeight="1">
      <c r="A1042" s="103"/>
      <c r="B1042" s="18"/>
      <c r="C1042" s="18"/>
      <c r="D1042" s="18"/>
      <c r="E1042" s="18"/>
      <c r="F1042" s="18"/>
      <c r="G1042" s="18"/>
      <c r="H1042" s="18"/>
      <c r="I1042" s="18"/>
      <c r="J1042" s="18"/>
      <c r="K1042" s="18"/>
      <c r="L1042" s="18"/>
      <c r="M1042" s="18"/>
      <c r="N1042" s="18"/>
      <c r="O1042" s="31"/>
      <c r="P1042" s="18"/>
      <c r="Q1042" s="31"/>
      <c r="R1042" s="31"/>
      <c r="S1042" s="31"/>
      <c r="T1042" s="31"/>
      <c r="U1042" s="31"/>
      <c r="V1042" s="31"/>
      <c r="W1042" s="31"/>
      <c r="X1042" s="31"/>
      <c r="Y1042" s="45"/>
    </row>
    <row r="1043" ht="15" customHeight="1">
      <c r="A1043" s="103"/>
      <c r="B1043" s="18"/>
      <c r="C1043" s="18"/>
      <c r="D1043" s="18"/>
      <c r="E1043" s="18"/>
      <c r="F1043" s="18"/>
      <c r="G1043" s="18"/>
      <c r="H1043" s="18"/>
      <c r="I1043" s="18"/>
      <c r="J1043" s="18"/>
      <c r="K1043" s="18"/>
      <c r="L1043" s="18"/>
      <c r="M1043" s="18"/>
      <c r="N1043" s="18"/>
      <c r="O1043" s="31"/>
      <c r="P1043" s="18"/>
      <c r="Q1043" s="31"/>
      <c r="R1043" s="31"/>
      <c r="S1043" s="31"/>
      <c r="T1043" s="31"/>
      <c r="U1043" s="31"/>
      <c r="V1043" s="31"/>
      <c r="W1043" s="31"/>
      <c r="X1043" s="31"/>
      <c r="Y1043" s="45"/>
    </row>
    <row r="1044" ht="15" customHeight="1">
      <c r="A1044" s="103"/>
      <c r="B1044" s="18"/>
      <c r="C1044" s="18"/>
      <c r="D1044" s="18"/>
      <c r="E1044" s="18"/>
      <c r="F1044" s="18"/>
      <c r="G1044" s="18"/>
      <c r="H1044" s="18"/>
      <c r="I1044" s="18"/>
      <c r="J1044" s="18"/>
      <c r="K1044" s="18"/>
      <c r="L1044" s="18"/>
      <c r="M1044" s="18"/>
      <c r="N1044" s="18"/>
      <c r="O1044" s="31"/>
      <c r="P1044" s="18"/>
      <c r="Q1044" s="31"/>
      <c r="R1044" s="31"/>
      <c r="S1044" s="31"/>
      <c r="T1044" s="31"/>
      <c r="U1044" s="31"/>
      <c r="V1044" s="31"/>
      <c r="W1044" s="31"/>
      <c r="X1044" s="31"/>
      <c r="Y1044" s="45"/>
    </row>
    <row r="1045" ht="15" customHeight="1">
      <c r="A1045" s="103"/>
      <c r="B1045" s="18"/>
      <c r="C1045" s="18"/>
      <c r="D1045" s="18"/>
      <c r="E1045" s="18"/>
      <c r="F1045" s="18"/>
      <c r="G1045" s="18"/>
      <c r="H1045" s="18"/>
      <c r="I1045" s="18"/>
      <c r="J1045" s="18"/>
      <c r="K1045" s="18"/>
      <c r="L1045" s="18"/>
      <c r="M1045" s="18"/>
      <c r="N1045" s="18"/>
      <c r="O1045" s="31"/>
      <c r="P1045" s="18"/>
      <c r="Q1045" s="31"/>
      <c r="R1045" s="31"/>
      <c r="S1045" s="31"/>
      <c r="T1045" s="31"/>
      <c r="U1045" s="31"/>
      <c r="V1045" s="31"/>
      <c r="W1045" s="31"/>
      <c r="X1045" s="31"/>
      <c r="Y1045" s="45"/>
    </row>
    <row r="1046" ht="15" customHeight="1">
      <c r="A1046" s="104"/>
      <c r="B1046" s="105"/>
      <c r="C1046" s="105"/>
      <c r="D1046" s="105"/>
      <c r="E1046" s="105"/>
      <c r="F1046" s="105"/>
      <c r="G1046" s="105"/>
      <c r="H1046" s="105"/>
      <c r="I1046" s="105"/>
      <c r="J1046" s="105"/>
      <c r="K1046" s="105"/>
      <c r="L1046" s="105"/>
      <c r="M1046" s="105"/>
      <c r="N1046" s="105"/>
      <c r="O1046" s="106"/>
      <c r="P1046" s="105"/>
      <c r="Q1046" s="106"/>
      <c r="R1046" s="106"/>
      <c r="S1046" s="106"/>
      <c r="T1046" s="106"/>
      <c r="U1046" s="106"/>
      <c r="V1046" s="106"/>
      <c r="W1046" s="106"/>
      <c r="X1046" s="106"/>
      <c r="Y1046" s="107"/>
    </row>
  </sheetData>
  <mergeCells count="4">
    <mergeCell ref="B2:C2"/>
    <mergeCell ref="B3:C3"/>
    <mergeCell ref="B6:C6"/>
    <mergeCell ref="B5:C5"/>
  </mergeCells>
  <conditionalFormatting sqref="C9:C11 C14:C22 C25:C28 C30:C32 C34:C50 C52:C58 C60:C67 C69:C88 C90:C96 C98:C104">
    <cfRule type="cellIs" dxfId="2" priority="1" operator="lessThan" stopIfTrue="1">
      <formula>0</formula>
    </cfRule>
  </conditionalFormatting>
  <pageMargins left="0.3" right="0.3" top="0.3" bottom="0.3" header="0" footer="0"/>
  <pageSetup firstPageNumber="1" fitToHeight="1" fitToWidth="1" scale="100" useFirstPageNumber="0" orientation="portrait" pageOrder="downThenOver"/>
  <headerFooter>
    <oddFooter>&amp;C&amp;"Helvetica Neue,Regular"&amp;11&amp;K000000&amp;P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Y1040"/>
  <sheetViews>
    <sheetView workbookViewId="0" showGridLines="0" defaultGridColor="1"/>
  </sheetViews>
  <sheetFormatPr defaultColWidth="14.5" defaultRowHeight="15" customHeight="1" outlineLevelRow="0" outlineLevelCol="0"/>
  <cols>
    <col min="1" max="1" width="3.35156" style="131" customWidth="1"/>
    <col min="2" max="2" width="35.8516" style="131" customWidth="1"/>
    <col min="3" max="3" width="15.8516" style="131" customWidth="1"/>
    <col min="4" max="15" width="11.8516" style="131" customWidth="1"/>
    <col min="16" max="16" width="2.35156" style="131" customWidth="1"/>
    <col min="17" max="17" width="13.8516" style="131" customWidth="1"/>
    <col min="18" max="18" width="3.35156" style="131" customWidth="1"/>
    <col min="19" max="25" width="28.6719" style="131" customWidth="1"/>
    <col min="26" max="16384" width="14.5" style="131" customWidth="1"/>
  </cols>
  <sheetData>
    <row r="1" ht="45" customHeight="1">
      <c r="A1" s="7"/>
      <c r="B1" t="s" s="8">
        <v>179</v>
      </c>
      <c r="C1" s="9"/>
      <c r="D1" s="10"/>
      <c r="E1" s="10"/>
      <c r="F1" s="10"/>
      <c r="G1" s="10"/>
      <c r="H1" s="10"/>
      <c r="I1" s="10"/>
      <c r="J1" s="10"/>
      <c r="K1" s="10"/>
      <c r="L1" s="10"/>
      <c r="M1" s="10"/>
      <c r="N1" s="10"/>
      <c r="O1" s="10"/>
      <c r="P1" s="10"/>
      <c r="Q1" s="10"/>
      <c r="R1" s="10"/>
      <c r="S1" s="11"/>
      <c r="T1" s="11"/>
      <c r="U1" s="11"/>
      <c r="V1" s="11"/>
      <c r="W1" s="11"/>
      <c r="X1" s="11"/>
      <c r="Y1" s="12"/>
    </row>
    <row r="2" ht="22" customHeight="1">
      <c r="A2" s="13"/>
      <c r="B2" t="s" s="14">
        <v>8</v>
      </c>
      <c r="C2" s="15"/>
      <c r="D2" s="16"/>
      <c r="E2" s="17"/>
      <c r="F2" s="17"/>
      <c r="G2" s="17"/>
      <c r="H2" s="17"/>
      <c r="I2" s="17"/>
      <c r="J2" s="17"/>
      <c r="K2" s="17"/>
      <c r="L2" s="17"/>
      <c r="M2" s="17"/>
      <c r="N2" s="17"/>
      <c r="O2" s="17"/>
      <c r="P2" s="17"/>
      <c r="Q2" s="17"/>
      <c r="R2" s="18"/>
      <c r="S2" s="18"/>
      <c r="T2" s="18"/>
      <c r="U2" s="18"/>
      <c r="V2" s="18"/>
      <c r="W2" s="18"/>
      <c r="X2" s="18"/>
      <c r="Y2" s="19"/>
    </row>
    <row r="3" ht="35" customHeight="1">
      <c r="A3" s="20"/>
      <c r="B3" s="22"/>
      <c r="C3" s="22"/>
      <c r="D3" s="23"/>
      <c r="E3" s="24"/>
      <c r="F3" s="24"/>
      <c r="G3" s="24"/>
      <c r="H3" s="24"/>
      <c r="I3" s="24"/>
      <c r="J3" s="24"/>
      <c r="K3" s="24"/>
      <c r="L3" s="24"/>
      <c r="M3" s="24"/>
      <c r="N3" s="24"/>
      <c r="O3" s="24"/>
      <c r="P3" s="24"/>
      <c r="Q3" s="24"/>
      <c r="R3" s="25"/>
      <c r="S3" s="25"/>
      <c r="T3" s="25"/>
      <c r="U3" s="25"/>
      <c r="V3" s="25"/>
      <c r="W3" s="25"/>
      <c r="X3" s="25"/>
      <c r="Y3" s="26"/>
    </row>
    <row r="4" ht="15" customHeight="1">
      <c r="A4" s="27"/>
      <c r="B4" s="28"/>
      <c r="C4" s="29"/>
      <c r="D4" s="30"/>
      <c r="E4" s="30"/>
      <c r="F4" s="30"/>
      <c r="G4" s="30"/>
      <c r="H4" s="30"/>
      <c r="I4" s="30"/>
      <c r="J4" s="30"/>
      <c r="K4" s="30"/>
      <c r="L4" s="30"/>
      <c r="M4" s="30"/>
      <c r="N4" s="30"/>
      <c r="O4" s="30"/>
      <c r="P4" s="30"/>
      <c r="Q4" s="30"/>
      <c r="R4" s="31"/>
      <c r="S4" s="18"/>
      <c r="T4" s="18"/>
      <c r="U4" s="18"/>
      <c r="V4" s="18"/>
      <c r="W4" s="18"/>
      <c r="X4" s="18"/>
      <c r="Y4" s="19"/>
    </row>
    <row r="5" ht="22" customHeight="1">
      <c r="A5" s="13"/>
      <c r="B5" t="s" s="14">
        <v>180</v>
      </c>
      <c r="C5" s="15"/>
      <c r="D5" s="16"/>
      <c r="E5" s="17"/>
      <c r="F5" s="17"/>
      <c r="G5" s="17"/>
      <c r="H5" s="17"/>
      <c r="I5" s="17"/>
      <c r="J5" s="17"/>
      <c r="K5" s="17"/>
      <c r="L5" s="17"/>
      <c r="M5" s="17"/>
      <c r="N5" s="17"/>
      <c r="O5" s="17"/>
      <c r="P5" s="17"/>
      <c r="Q5" s="17"/>
      <c r="R5" s="18"/>
      <c r="S5" s="18"/>
      <c r="T5" s="18"/>
      <c r="U5" s="18"/>
      <c r="V5" s="18"/>
      <c r="W5" s="18"/>
      <c r="X5" s="18"/>
      <c r="Y5" s="19"/>
    </row>
    <row r="6" ht="35" customHeight="1">
      <c r="A6" s="20"/>
      <c r="B6" s="22"/>
      <c r="C6" s="22"/>
      <c r="D6" s="23"/>
      <c r="E6" s="24"/>
      <c r="F6" s="24"/>
      <c r="G6" s="24"/>
      <c r="H6" s="24"/>
      <c r="I6" s="24"/>
      <c r="J6" s="24"/>
      <c r="K6" s="24"/>
      <c r="L6" s="24"/>
      <c r="M6" s="24"/>
      <c r="N6" s="24"/>
      <c r="O6" s="24"/>
      <c r="P6" s="24"/>
      <c r="Q6" s="24"/>
      <c r="R6" s="25"/>
      <c r="S6" s="25"/>
      <c r="T6" s="25"/>
      <c r="U6" s="25"/>
      <c r="V6" s="25"/>
      <c r="W6" s="25"/>
      <c r="X6" s="25"/>
      <c r="Y6" s="26"/>
    </row>
    <row r="7" ht="15" customHeight="1">
      <c r="A7" s="27"/>
      <c r="B7" s="33"/>
      <c r="C7" s="29"/>
      <c r="D7" s="34"/>
      <c r="E7" s="34"/>
      <c r="F7" s="34"/>
      <c r="G7" s="34"/>
      <c r="H7" s="34"/>
      <c r="I7" s="34"/>
      <c r="J7" s="34"/>
      <c r="K7" s="34"/>
      <c r="L7" s="34"/>
      <c r="M7" s="34"/>
      <c r="N7" s="34"/>
      <c r="O7" s="34"/>
      <c r="P7" s="30"/>
      <c r="Q7" s="34"/>
      <c r="R7" s="31"/>
      <c r="S7" s="18"/>
      <c r="T7" s="18"/>
      <c r="U7" s="18"/>
      <c r="V7" s="18"/>
      <c r="W7" s="18"/>
      <c r="X7" s="18"/>
      <c r="Y7" s="19"/>
    </row>
    <row r="8" ht="20" customHeight="1">
      <c r="A8" s="35"/>
      <c r="B8" s="36"/>
      <c r="C8" t="s" s="37">
        <v>11</v>
      </c>
      <c r="D8" t="s" s="37">
        <v>12</v>
      </c>
      <c r="E8" t="s" s="37">
        <v>13</v>
      </c>
      <c r="F8" t="s" s="37">
        <v>14</v>
      </c>
      <c r="G8" t="s" s="37">
        <v>15</v>
      </c>
      <c r="H8" t="s" s="37">
        <v>16</v>
      </c>
      <c r="I8" t="s" s="37">
        <v>17</v>
      </c>
      <c r="J8" t="s" s="37">
        <v>18</v>
      </c>
      <c r="K8" t="s" s="37">
        <v>19</v>
      </c>
      <c r="L8" t="s" s="37">
        <v>20</v>
      </c>
      <c r="M8" t="s" s="37">
        <v>21</v>
      </c>
      <c r="N8" t="s" s="37">
        <v>22</v>
      </c>
      <c r="O8" t="s" s="37">
        <v>23</v>
      </c>
      <c r="P8" s="38"/>
      <c r="Q8" t="s" s="37">
        <v>24</v>
      </c>
      <c r="R8" s="39"/>
      <c r="S8" s="25"/>
      <c r="T8" s="25"/>
      <c r="U8" s="25"/>
      <c r="V8" s="25"/>
      <c r="W8" s="25"/>
      <c r="X8" s="25"/>
      <c r="Y8" s="26"/>
    </row>
    <row r="9" ht="20" customHeight="1">
      <c r="A9" s="40"/>
      <c r="B9" t="s" s="41">
        <v>25</v>
      </c>
      <c r="C9" s="42"/>
      <c r="D9" s="85" cm="1">
        <f t="array" ref="D9">D31</f>
        <v>0</v>
      </c>
      <c r="E9" s="85" cm="1">
        <f t="array" ref="E9">E31</f>
        <v>0</v>
      </c>
      <c r="F9" s="85" cm="1">
        <f t="array" ref="F9">F31</f>
        <v>0</v>
      </c>
      <c r="G9" s="85" cm="1">
        <f t="array" ref="G9">G31</f>
        <v>0</v>
      </c>
      <c r="H9" s="85" cm="1">
        <f t="array" ref="H9">H31</f>
        <v>0</v>
      </c>
      <c r="I9" s="85" cm="1">
        <f t="array" ref="I9">I31</f>
        <v>0</v>
      </c>
      <c r="J9" s="85" cm="1">
        <f t="array" ref="J9">J31</f>
        <v>0</v>
      </c>
      <c r="K9" s="85" cm="1">
        <f t="array" ref="K9">K31</f>
        <v>0</v>
      </c>
      <c r="L9" s="85" cm="1">
        <f t="array" ref="L9">L31</f>
        <v>0</v>
      </c>
      <c r="M9" s="85" cm="1">
        <f t="array" ref="M9">M31</f>
        <v>0</v>
      </c>
      <c r="N9" s="85" cm="1">
        <f t="array" ref="N9">N31</f>
        <v>0</v>
      </c>
      <c r="O9" s="85" cm="1">
        <f t="array" ref="O9">O31</f>
        <v>0</v>
      </c>
      <c r="P9" s="44"/>
      <c r="Q9" s="85" cm="1">
        <f t="array" ref="Q9">SUM(D9:O9)</f>
        <v>0</v>
      </c>
      <c r="R9" s="39"/>
      <c r="S9" s="18"/>
      <c r="T9" s="18"/>
      <c r="U9" s="18"/>
      <c r="V9" s="18"/>
      <c r="W9" s="18"/>
      <c r="X9" s="31"/>
      <c r="Y9" s="45"/>
    </row>
    <row r="10" ht="20" customHeight="1">
      <c r="A10" s="40"/>
      <c r="B10" t="s" s="41">
        <v>26</v>
      </c>
      <c r="C10" s="42"/>
      <c r="D10" s="85" cm="1">
        <f t="array" ref="D10">D99</f>
        <v>0</v>
      </c>
      <c r="E10" s="85" cm="1">
        <f t="array" ref="E10">E99</f>
        <v>0</v>
      </c>
      <c r="F10" s="85" cm="1">
        <f t="array" ref="F10">F99</f>
        <v>0</v>
      </c>
      <c r="G10" s="85" cm="1">
        <f t="array" ref="G10">G99</f>
        <v>0</v>
      </c>
      <c r="H10" s="85" cm="1">
        <f t="array" ref="H10">H99</f>
        <v>0</v>
      </c>
      <c r="I10" s="85" cm="1">
        <f t="array" ref="I10">I99</f>
        <v>0</v>
      </c>
      <c r="J10" s="85" cm="1">
        <f t="array" ref="J10">J99</f>
        <v>0</v>
      </c>
      <c r="K10" s="85" cm="1">
        <f t="array" ref="K10">K99</f>
        <v>0</v>
      </c>
      <c r="L10" s="85" cm="1">
        <f t="array" ref="L10">L99</f>
        <v>0</v>
      </c>
      <c r="M10" s="85" cm="1">
        <f t="array" ref="M10">M99</f>
        <v>0</v>
      </c>
      <c r="N10" s="85" cm="1">
        <f t="array" ref="N10">N99</f>
        <v>0</v>
      </c>
      <c r="O10" s="85" cm="1">
        <f t="array" ref="O10">O99</f>
        <v>0</v>
      </c>
      <c r="P10" s="46"/>
      <c r="Q10" s="85" cm="1">
        <f t="array" ref="Q10">SUM(D10:O10)</f>
        <v>0</v>
      </c>
      <c r="R10" s="47"/>
      <c r="S10" s="18"/>
      <c r="T10" s="18"/>
      <c r="U10" s="18"/>
      <c r="V10" s="18"/>
      <c r="W10" s="18"/>
      <c r="X10" s="18"/>
      <c r="Y10" s="19"/>
    </row>
    <row r="11" ht="22" customHeight="1">
      <c r="A11" s="40"/>
      <c r="B11" t="s" s="48">
        <v>27</v>
      </c>
      <c r="C11" s="49"/>
      <c r="D11" s="132" cm="1">
        <f t="array" ref="D11">D9-D10</f>
        <v>0</v>
      </c>
      <c r="E11" s="132" cm="1">
        <f t="array" ref="E11">E9-E10</f>
        <v>0</v>
      </c>
      <c r="F11" s="132" cm="1">
        <f t="array" ref="F11">F9-F10</f>
        <v>0</v>
      </c>
      <c r="G11" s="132" cm="1">
        <f t="array" ref="G11">G9-G10</f>
        <v>0</v>
      </c>
      <c r="H11" s="132" cm="1">
        <f t="array" ref="H11">H9-H10</f>
        <v>0</v>
      </c>
      <c r="I11" s="132" cm="1">
        <f t="array" ref="I11">I9-I10</f>
        <v>0</v>
      </c>
      <c r="J11" s="132" cm="1">
        <f t="array" ref="J11">J9-J10</f>
        <v>0</v>
      </c>
      <c r="K11" s="132" cm="1">
        <f t="array" ref="K11">K9-K10</f>
        <v>0</v>
      </c>
      <c r="L11" s="132" cm="1">
        <f t="array" ref="L11">L9-L10</f>
        <v>0</v>
      </c>
      <c r="M11" s="132" cm="1">
        <f t="array" ref="M11">M9-M10</f>
        <v>0</v>
      </c>
      <c r="N11" s="132" cm="1">
        <f t="array" ref="N11">N9-N10</f>
        <v>0</v>
      </c>
      <c r="O11" s="132" cm="1">
        <f t="array" ref="O11">O9-O10</f>
        <v>0</v>
      </c>
      <c r="P11" s="44"/>
      <c r="Q11" s="132" cm="1">
        <f t="array" ref="Q11">Q9-Q10</f>
        <v>0</v>
      </c>
      <c r="R11" s="39"/>
      <c r="S11" s="18"/>
      <c r="T11" s="18"/>
      <c r="U11" s="18"/>
      <c r="V11" s="18"/>
      <c r="W11" s="18"/>
      <c r="X11" s="31"/>
      <c r="Y11" s="45"/>
    </row>
    <row r="12" ht="20" customHeight="1">
      <c r="A12" s="27"/>
      <c r="B12" s="52"/>
      <c r="C12" s="61"/>
      <c r="D12" s="52"/>
      <c r="E12" s="52"/>
      <c r="F12" s="52"/>
      <c r="G12" s="52"/>
      <c r="H12" s="52"/>
      <c r="I12" s="52"/>
      <c r="J12" s="52"/>
      <c r="K12" s="52"/>
      <c r="L12" s="52"/>
      <c r="M12" s="52"/>
      <c r="N12" s="52"/>
      <c r="O12" s="52"/>
      <c r="P12" s="62"/>
      <c r="Q12" s="52"/>
      <c r="R12" s="31"/>
      <c r="S12" s="18"/>
      <c r="T12" s="18"/>
      <c r="U12" s="18"/>
      <c r="V12" s="18"/>
      <c r="W12" s="18"/>
      <c r="X12" s="31"/>
      <c r="Y12" s="45"/>
    </row>
    <row r="13" ht="20" customHeight="1">
      <c r="A13" s="27"/>
      <c r="B13" t="s" s="63">
        <v>36</v>
      </c>
      <c r="C13" s="64"/>
      <c r="D13" s="64"/>
      <c r="E13" s="64"/>
      <c r="F13" s="64"/>
      <c r="G13" s="64"/>
      <c r="H13" s="64"/>
      <c r="I13" s="64"/>
      <c r="J13" s="64"/>
      <c r="K13" s="64"/>
      <c r="L13" s="64"/>
      <c r="M13" s="64"/>
      <c r="N13" s="64"/>
      <c r="O13" s="64"/>
      <c r="P13" s="65"/>
      <c r="Q13" s="64"/>
      <c r="R13" s="31"/>
      <c r="S13" s="18"/>
      <c r="T13" s="18"/>
      <c r="U13" s="18"/>
      <c r="V13" s="18"/>
      <c r="W13" s="18"/>
      <c r="X13" s="18"/>
      <c r="Y13" s="19"/>
    </row>
    <row r="14" ht="20" customHeight="1">
      <c r="A14" s="20"/>
      <c r="B14" t="s" s="66">
        <v>37</v>
      </c>
      <c r="C14" t="s" s="37">
        <v>11</v>
      </c>
      <c r="D14" t="s" s="67">
        <v>12</v>
      </c>
      <c r="E14" t="s" s="67">
        <v>13</v>
      </c>
      <c r="F14" t="s" s="67">
        <v>14</v>
      </c>
      <c r="G14" t="s" s="67">
        <v>15</v>
      </c>
      <c r="H14" t="s" s="67">
        <v>16</v>
      </c>
      <c r="I14" t="s" s="67">
        <v>17</v>
      </c>
      <c r="J14" t="s" s="67">
        <v>18</v>
      </c>
      <c r="K14" t="s" s="67">
        <v>19</v>
      </c>
      <c r="L14" t="s" s="67">
        <v>20</v>
      </c>
      <c r="M14" t="s" s="67">
        <v>21</v>
      </c>
      <c r="N14" t="s" s="67">
        <v>22</v>
      </c>
      <c r="O14" t="s" s="67">
        <v>23</v>
      </c>
      <c r="P14" s="38"/>
      <c r="Q14" t="s" s="67">
        <v>24</v>
      </c>
      <c r="R14" s="39"/>
      <c r="S14" s="25"/>
      <c r="T14" s="25"/>
      <c r="U14" s="25"/>
      <c r="V14" s="25"/>
      <c r="W14" s="25"/>
      <c r="X14" s="25"/>
      <c r="Y14" s="26"/>
    </row>
    <row r="15" ht="20" customHeight="1">
      <c r="A15" s="40"/>
      <c r="B15" t="s" s="68">
        <v>181</v>
      </c>
      <c r="C15" s="79"/>
      <c r="D15" s="133">
        <v>0</v>
      </c>
      <c r="E15" s="133">
        <v>0</v>
      </c>
      <c r="F15" s="133">
        <v>0</v>
      </c>
      <c r="G15" s="133">
        <v>0</v>
      </c>
      <c r="H15" s="133">
        <v>0</v>
      </c>
      <c r="I15" s="133">
        <v>0</v>
      </c>
      <c r="J15" s="133">
        <v>0</v>
      </c>
      <c r="K15" s="133">
        <v>0</v>
      </c>
      <c r="L15" s="133">
        <v>0</v>
      </c>
      <c r="M15" s="133">
        <v>0</v>
      </c>
      <c r="N15" s="133">
        <v>0</v>
      </c>
      <c r="O15" s="133">
        <v>0</v>
      </c>
      <c r="P15" s="44"/>
      <c r="Q15" s="133" cm="1">
        <f t="array" ref="Q15">SUM(D15:O15)</f>
        <v>0</v>
      </c>
      <c r="R15" s="39"/>
      <c r="S15" s="18"/>
      <c r="T15" s="18"/>
      <c r="U15" s="18"/>
      <c r="V15" s="18"/>
      <c r="W15" s="18"/>
      <c r="X15" s="31"/>
      <c r="Y15" s="45"/>
    </row>
    <row r="16" ht="20" customHeight="1">
      <c r="A16" s="40"/>
      <c r="B16" t="s" s="68">
        <v>182</v>
      </c>
      <c r="C16" s="79"/>
      <c r="D16" s="133">
        <v>0</v>
      </c>
      <c r="E16" s="133">
        <v>0</v>
      </c>
      <c r="F16" s="133">
        <v>0</v>
      </c>
      <c r="G16" s="133">
        <v>0</v>
      </c>
      <c r="H16" s="133">
        <v>0</v>
      </c>
      <c r="I16" s="133">
        <v>0</v>
      </c>
      <c r="J16" s="133">
        <v>0</v>
      </c>
      <c r="K16" s="133">
        <v>0</v>
      </c>
      <c r="L16" s="133">
        <v>0</v>
      </c>
      <c r="M16" s="133">
        <v>0</v>
      </c>
      <c r="N16" s="133">
        <v>0</v>
      </c>
      <c r="O16" s="133">
        <v>0</v>
      </c>
      <c r="P16" s="44"/>
      <c r="Q16" s="133" cm="1">
        <f t="array" ref="Q16">SUM(D16:O16)</f>
        <v>0</v>
      </c>
      <c r="R16" s="39"/>
      <c r="S16" s="18"/>
      <c r="T16" s="18"/>
      <c r="U16" s="18"/>
      <c r="V16" s="18"/>
      <c r="W16" s="18"/>
      <c r="X16" s="31"/>
      <c r="Y16" s="45"/>
    </row>
    <row r="17" ht="20" customHeight="1">
      <c r="A17" s="40"/>
      <c r="B17" t="s" s="68">
        <v>183</v>
      </c>
      <c r="C17" s="79"/>
      <c r="D17" s="133">
        <v>0</v>
      </c>
      <c r="E17" s="133">
        <v>0</v>
      </c>
      <c r="F17" s="133">
        <v>0</v>
      </c>
      <c r="G17" s="133">
        <v>0</v>
      </c>
      <c r="H17" s="133">
        <v>0</v>
      </c>
      <c r="I17" s="133">
        <v>0</v>
      </c>
      <c r="J17" s="133">
        <v>0</v>
      </c>
      <c r="K17" s="133">
        <v>0</v>
      </c>
      <c r="L17" s="133">
        <v>0</v>
      </c>
      <c r="M17" s="133">
        <v>0</v>
      </c>
      <c r="N17" s="133">
        <v>0</v>
      </c>
      <c r="O17" s="133">
        <v>0</v>
      </c>
      <c r="P17" s="44"/>
      <c r="Q17" s="133" cm="1">
        <f t="array" ref="Q17">SUM(D17:O17)</f>
        <v>0</v>
      </c>
      <c r="R17" s="39"/>
      <c r="S17" s="18"/>
      <c r="T17" s="18"/>
      <c r="U17" s="18"/>
      <c r="V17" s="18"/>
      <c r="W17" s="18"/>
      <c r="X17" s="31"/>
      <c r="Y17" s="45"/>
    </row>
    <row r="18" ht="20" customHeight="1">
      <c r="A18" s="40"/>
      <c r="B18" t="s" s="68">
        <v>184</v>
      </c>
      <c r="C18" s="79"/>
      <c r="D18" s="133">
        <v>0</v>
      </c>
      <c r="E18" s="133">
        <v>0</v>
      </c>
      <c r="F18" s="133">
        <v>0</v>
      </c>
      <c r="G18" s="133">
        <v>0</v>
      </c>
      <c r="H18" s="133">
        <v>0</v>
      </c>
      <c r="I18" s="133">
        <v>0</v>
      </c>
      <c r="J18" s="133">
        <v>0</v>
      </c>
      <c r="K18" s="133">
        <v>0</v>
      </c>
      <c r="L18" s="133">
        <v>0</v>
      </c>
      <c r="M18" s="133">
        <v>0</v>
      </c>
      <c r="N18" s="133">
        <v>0</v>
      </c>
      <c r="O18" s="133">
        <v>0</v>
      </c>
      <c r="P18" s="44"/>
      <c r="Q18" s="133" cm="1">
        <f t="array" ref="Q18">SUM(D18:O18)</f>
        <v>0</v>
      </c>
      <c r="R18" s="39"/>
      <c r="S18" s="18"/>
      <c r="T18" s="18"/>
      <c r="U18" s="18"/>
      <c r="V18" s="18"/>
      <c r="W18" s="18"/>
      <c r="X18" s="31"/>
      <c r="Y18" s="45"/>
    </row>
    <row r="19" ht="20" customHeight="1">
      <c r="A19" s="40"/>
      <c r="B19" t="s" s="68">
        <v>185</v>
      </c>
      <c r="C19" s="79"/>
      <c r="D19" s="133">
        <v>0</v>
      </c>
      <c r="E19" s="133">
        <v>0</v>
      </c>
      <c r="F19" s="133">
        <v>0</v>
      </c>
      <c r="G19" s="133">
        <v>0</v>
      </c>
      <c r="H19" s="133">
        <v>0</v>
      </c>
      <c r="I19" s="133">
        <v>0</v>
      </c>
      <c r="J19" s="133">
        <v>0</v>
      </c>
      <c r="K19" s="133">
        <v>0</v>
      </c>
      <c r="L19" s="133">
        <v>0</v>
      </c>
      <c r="M19" s="133">
        <v>0</v>
      </c>
      <c r="N19" s="133">
        <v>0</v>
      </c>
      <c r="O19" s="133">
        <v>0</v>
      </c>
      <c r="P19" s="44"/>
      <c r="Q19" s="133" cm="1">
        <f t="array" ref="Q19">SUM(D19:O19)</f>
        <v>0</v>
      </c>
      <c r="R19" s="39"/>
      <c r="S19" s="18"/>
      <c r="T19" s="18"/>
      <c r="U19" s="18"/>
      <c r="V19" s="18"/>
      <c r="W19" s="18"/>
      <c r="X19" s="31"/>
      <c r="Y19" s="45"/>
    </row>
    <row r="20" ht="20" customHeight="1">
      <c r="A20" s="40"/>
      <c r="B20" t="s" s="68">
        <v>186</v>
      </c>
      <c r="C20" s="79"/>
      <c r="D20" s="133">
        <v>0</v>
      </c>
      <c r="E20" s="133">
        <v>0</v>
      </c>
      <c r="F20" s="133">
        <v>0</v>
      </c>
      <c r="G20" s="133">
        <v>0</v>
      </c>
      <c r="H20" s="133">
        <v>0</v>
      </c>
      <c r="I20" s="133">
        <v>0</v>
      </c>
      <c r="J20" s="133">
        <v>0</v>
      </c>
      <c r="K20" s="133">
        <v>0</v>
      </c>
      <c r="L20" s="133">
        <v>0</v>
      </c>
      <c r="M20" s="133">
        <v>0</v>
      </c>
      <c r="N20" s="133">
        <v>0</v>
      </c>
      <c r="O20" s="133">
        <v>0</v>
      </c>
      <c r="P20" s="44"/>
      <c r="Q20" s="133" cm="1">
        <f t="array" ref="Q20">SUM(D20:O20)</f>
        <v>0</v>
      </c>
      <c r="R20" s="39"/>
      <c r="S20" s="18"/>
      <c r="T20" s="18"/>
      <c r="U20" s="18"/>
      <c r="V20" s="18"/>
      <c r="W20" s="18"/>
      <c r="X20" s="31"/>
      <c r="Y20" s="45"/>
    </row>
    <row r="21" ht="20" customHeight="1">
      <c r="A21" s="40"/>
      <c r="B21" t="s" s="68">
        <v>187</v>
      </c>
      <c r="C21" s="79"/>
      <c r="D21" s="133">
        <v>0</v>
      </c>
      <c r="E21" s="133">
        <v>0</v>
      </c>
      <c r="F21" s="133">
        <v>0</v>
      </c>
      <c r="G21" s="133">
        <v>0</v>
      </c>
      <c r="H21" s="133">
        <v>0</v>
      </c>
      <c r="I21" s="133">
        <v>0</v>
      </c>
      <c r="J21" s="133">
        <v>0</v>
      </c>
      <c r="K21" s="133">
        <v>0</v>
      </c>
      <c r="L21" s="133">
        <v>0</v>
      </c>
      <c r="M21" s="133">
        <v>0</v>
      </c>
      <c r="N21" s="133">
        <v>0</v>
      </c>
      <c r="O21" s="133">
        <v>0</v>
      </c>
      <c r="P21" s="44"/>
      <c r="Q21" s="133" cm="1">
        <f t="array" ref="Q21">SUM(D21:O21)</f>
        <v>0</v>
      </c>
      <c r="R21" s="39"/>
      <c r="S21" s="18"/>
      <c r="T21" s="18"/>
      <c r="U21" s="18"/>
      <c r="V21" s="18"/>
      <c r="W21" s="18"/>
      <c r="X21" s="31"/>
      <c r="Y21" s="45"/>
    </row>
    <row r="22" ht="20" customHeight="1">
      <c r="A22" s="40"/>
      <c r="B22" t="s" s="68">
        <v>106</v>
      </c>
      <c r="C22" s="79"/>
      <c r="D22" s="133">
        <v>0</v>
      </c>
      <c r="E22" s="133">
        <v>0</v>
      </c>
      <c r="F22" s="133">
        <v>0</v>
      </c>
      <c r="G22" s="133">
        <v>0</v>
      </c>
      <c r="H22" s="133">
        <v>0</v>
      </c>
      <c r="I22" s="133">
        <v>0</v>
      </c>
      <c r="J22" s="133">
        <v>0</v>
      </c>
      <c r="K22" s="133">
        <v>0</v>
      </c>
      <c r="L22" s="133">
        <v>0</v>
      </c>
      <c r="M22" s="133">
        <v>0</v>
      </c>
      <c r="N22" s="133">
        <v>0</v>
      </c>
      <c r="O22" s="133">
        <v>0</v>
      </c>
      <c r="P22" s="44"/>
      <c r="Q22" s="133" cm="1">
        <f t="array" ref="Q22">SUM(D22:O22)</f>
        <v>0</v>
      </c>
      <c r="R22" s="39"/>
      <c r="S22" s="18"/>
      <c r="T22" s="18"/>
      <c r="U22" s="18"/>
      <c r="V22" s="18"/>
      <c r="W22" s="18"/>
      <c r="X22" s="31"/>
      <c r="Y22" s="45"/>
    </row>
    <row r="23" ht="20" customHeight="1">
      <c r="A23" s="40"/>
      <c r="B23" t="s" s="72">
        <v>38</v>
      </c>
      <c r="C23" s="42"/>
      <c r="D23" s="85" cm="1">
        <f t="array" ref="D23">SUM(D15:D22)</f>
        <v>0</v>
      </c>
      <c r="E23" s="85" cm="1">
        <f t="array" ref="E23">SUM(E15:E22)</f>
        <v>0</v>
      </c>
      <c r="F23" s="85" cm="1">
        <f t="array" ref="F23">SUM(F15:F22)</f>
        <v>0</v>
      </c>
      <c r="G23" s="85" cm="1">
        <f t="array" ref="G23">SUM(G15:G22)</f>
        <v>0</v>
      </c>
      <c r="H23" s="85" cm="1">
        <f t="array" ref="H23">SUM(H15:H22)</f>
        <v>0</v>
      </c>
      <c r="I23" s="85" cm="1">
        <f t="array" ref="I23">SUM(I15:I22)</f>
        <v>0</v>
      </c>
      <c r="J23" s="85" cm="1">
        <f t="array" ref="J23">SUM(J15:J22)</f>
        <v>0</v>
      </c>
      <c r="K23" s="85" cm="1">
        <f t="array" ref="K23">SUM(K15:K22)</f>
        <v>0</v>
      </c>
      <c r="L23" s="85" cm="1">
        <f t="array" ref="L23">SUM(L15:L22)</f>
        <v>0</v>
      </c>
      <c r="M23" s="85" cm="1">
        <f t="array" ref="M23">SUM(M15:M22)</f>
        <v>0</v>
      </c>
      <c r="N23" s="85" cm="1">
        <f t="array" ref="N23">SUM(N15:N22)</f>
        <v>0</v>
      </c>
      <c r="O23" s="85" cm="1">
        <f t="array" ref="O23">SUM(O15:O22)</f>
        <v>0</v>
      </c>
      <c r="P23" s="44"/>
      <c r="Q23" s="85" cm="1">
        <f t="array" ref="Q23">SUM(Q15:Q22)</f>
        <v>0</v>
      </c>
      <c r="R23" s="39"/>
      <c r="S23" s="18"/>
      <c r="T23" s="18"/>
      <c r="U23" s="18"/>
      <c r="V23" s="18"/>
      <c r="W23" s="18"/>
      <c r="X23" s="31"/>
      <c r="Y23" s="45"/>
    </row>
    <row r="24" ht="20" customHeight="1">
      <c r="A24" s="27"/>
      <c r="B24" s="74"/>
      <c r="C24" s="84"/>
      <c r="D24" s="74"/>
      <c r="E24" s="74"/>
      <c r="F24" s="74"/>
      <c r="G24" s="74"/>
      <c r="H24" s="74"/>
      <c r="I24" s="74"/>
      <c r="J24" s="74"/>
      <c r="K24" s="74"/>
      <c r="L24" s="74"/>
      <c r="M24" s="74"/>
      <c r="N24" s="74"/>
      <c r="O24" s="74"/>
      <c r="P24" s="62"/>
      <c r="Q24" s="74"/>
      <c r="R24" s="31"/>
      <c r="S24" s="18"/>
      <c r="T24" s="18"/>
      <c r="U24" s="18"/>
      <c r="V24" s="18"/>
      <c r="W24" s="18"/>
      <c r="X24" s="31"/>
      <c r="Y24" s="45"/>
    </row>
    <row r="25" ht="20" customHeight="1">
      <c r="A25" s="40"/>
      <c r="B25" t="s" s="66">
        <v>39</v>
      </c>
      <c r="C25" t="s" s="37">
        <v>11</v>
      </c>
      <c r="D25" t="s" s="37">
        <v>12</v>
      </c>
      <c r="E25" t="s" s="37">
        <v>13</v>
      </c>
      <c r="F25" t="s" s="37">
        <v>14</v>
      </c>
      <c r="G25" t="s" s="37">
        <v>15</v>
      </c>
      <c r="H25" t="s" s="37">
        <v>16</v>
      </c>
      <c r="I25" t="s" s="37">
        <v>17</v>
      </c>
      <c r="J25" t="s" s="37">
        <v>18</v>
      </c>
      <c r="K25" t="s" s="37">
        <v>19</v>
      </c>
      <c r="L25" t="s" s="37">
        <v>20</v>
      </c>
      <c r="M25" t="s" s="37">
        <v>21</v>
      </c>
      <c r="N25" t="s" s="37">
        <v>22</v>
      </c>
      <c r="O25" t="s" s="37">
        <v>23</v>
      </c>
      <c r="P25" s="44"/>
      <c r="Q25" t="s" s="67">
        <v>24</v>
      </c>
      <c r="R25" s="39"/>
      <c r="S25" s="18"/>
      <c r="T25" s="18"/>
      <c r="U25" s="18"/>
      <c r="V25" s="18"/>
      <c r="W25" s="18"/>
      <c r="X25" s="31"/>
      <c r="Y25" s="45"/>
    </row>
    <row r="26" ht="20" customHeight="1">
      <c r="A26" s="77"/>
      <c r="B26" t="s" s="78">
        <v>40</v>
      </c>
      <c r="C26" s="79"/>
      <c r="D26" s="134">
        <v>0</v>
      </c>
      <c r="E26" s="134">
        <v>0</v>
      </c>
      <c r="F26" s="134">
        <v>0</v>
      </c>
      <c r="G26" s="134">
        <v>0</v>
      </c>
      <c r="H26" s="134">
        <v>0</v>
      </c>
      <c r="I26" s="134">
        <v>0</v>
      </c>
      <c r="J26" s="134">
        <v>0</v>
      </c>
      <c r="K26" s="134">
        <v>0</v>
      </c>
      <c r="L26" s="134">
        <v>0</v>
      </c>
      <c r="M26" s="134">
        <v>0</v>
      </c>
      <c r="N26" s="134">
        <v>0</v>
      </c>
      <c r="O26" s="134">
        <v>0</v>
      </c>
      <c r="P26" s="44"/>
      <c r="Q26" s="134" cm="1">
        <f t="array" ref="Q26">SUM(D26:O26)</f>
        <v>0</v>
      </c>
      <c r="R26" s="39"/>
      <c r="S26" s="82"/>
      <c r="T26" s="82"/>
      <c r="U26" s="82"/>
      <c r="V26" s="82"/>
      <c r="W26" s="82"/>
      <c r="X26" s="31"/>
      <c r="Y26" s="45"/>
    </row>
    <row r="27" ht="20" customHeight="1">
      <c r="A27" s="40"/>
      <c r="B27" t="s" s="78">
        <v>41</v>
      </c>
      <c r="C27" s="79"/>
      <c r="D27" s="134">
        <v>0</v>
      </c>
      <c r="E27" s="134">
        <v>0</v>
      </c>
      <c r="F27" s="134">
        <v>0</v>
      </c>
      <c r="G27" s="134">
        <v>0</v>
      </c>
      <c r="H27" s="134">
        <v>0</v>
      </c>
      <c r="I27" s="134">
        <v>0</v>
      </c>
      <c r="J27" s="134">
        <v>0</v>
      </c>
      <c r="K27" s="134">
        <v>0</v>
      </c>
      <c r="L27" s="134">
        <v>0</v>
      </c>
      <c r="M27" s="134">
        <v>0</v>
      </c>
      <c r="N27" s="134">
        <v>0</v>
      </c>
      <c r="O27" s="134">
        <v>0</v>
      </c>
      <c r="P27" s="135"/>
      <c r="Q27" s="134" cm="1">
        <f t="array" ref="Q27">SUM(D27:O27)</f>
        <v>0</v>
      </c>
      <c r="R27" s="39"/>
      <c r="S27" s="18"/>
      <c r="T27" s="18"/>
      <c r="U27" s="18"/>
      <c r="V27" s="18"/>
      <c r="W27" s="18"/>
      <c r="X27" s="31"/>
      <c r="Y27" s="45"/>
    </row>
    <row r="28" ht="20" customHeight="1">
      <c r="A28" s="13"/>
      <c r="B28" t="s" s="78">
        <v>42</v>
      </c>
      <c r="C28" s="79"/>
      <c r="D28" s="134">
        <v>0</v>
      </c>
      <c r="E28" s="134">
        <v>0</v>
      </c>
      <c r="F28" s="134">
        <v>0</v>
      </c>
      <c r="G28" s="134">
        <v>0</v>
      </c>
      <c r="H28" s="134">
        <v>0</v>
      </c>
      <c r="I28" s="134">
        <v>0</v>
      </c>
      <c r="J28" s="134">
        <v>0</v>
      </c>
      <c r="K28" s="134">
        <v>0</v>
      </c>
      <c r="L28" s="134">
        <v>0</v>
      </c>
      <c r="M28" s="134">
        <v>0</v>
      </c>
      <c r="N28" s="134">
        <v>0</v>
      </c>
      <c r="O28" s="134">
        <v>0</v>
      </c>
      <c r="P28" s="135"/>
      <c r="Q28" s="134" cm="1">
        <f t="array" ref="Q28">SUM(D28:O28)</f>
        <v>0</v>
      </c>
      <c r="R28" s="39"/>
      <c r="S28" s="83"/>
      <c r="T28" s="83"/>
      <c r="U28" s="83"/>
      <c r="V28" s="83"/>
      <c r="W28" s="83"/>
      <c r="X28" s="31"/>
      <c r="Y28" s="45"/>
    </row>
    <row r="29" ht="20" customHeight="1">
      <c r="A29" s="40"/>
      <c r="B29" t="s" s="72">
        <v>43</v>
      </c>
      <c r="C29" s="42"/>
      <c r="D29" s="85" cm="1">
        <f t="array" ref="D29">SUM(D26:D28)</f>
        <v>0</v>
      </c>
      <c r="E29" s="85" cm="1">
        <f t="array" ref="E29">SUM(E26:E28)</f>
        <v>0</v>
      </c>
      <c r="F29" s="85" cm="1">
        <f t="array" ref="F29">SUM(F26:F28)</f>
        <v>0</v>
      </c>
      <c r="G29" s="85" cm="1">
        <f t="array" ref="G29">SUM(G26:G28)</f>
        <v>0</v>
      </c>
      <c r="H29" s="85" cm="1">
        <f t="array" ref="H29">SUM(H26:H28)</f>
        <v>0</v>
      </c>
      <c r="I29" s="85" cm="1">
        <f t="array" ref="I29">SUM(I26:I28)</f>
        <v>0</v>
      </c>
      <c r="J29" s="85" cm="1">
        <f t="array" ref="J29">SUM(J26:J28)</f>
        <v>0</v>
      </c>
      <c r="K29" s="85" cm="1">
        <f t="array" ref="K29">SUM(K26:K28)</f>
        <v>0</v>
      </c>
      <c r="L29" s="85" cm="1">
        <f t="array" ref="L29">SUM(L26:L28)</f>
        <v>0</v>
      </c>
      <c r="M29" s="85" cm="1">
        <f t="array" ref="M29">SUM(M26:M28)</f>
        <v>0</v>
      </c>
      <c r="N29" s="85" cm="1">
        <f t="array" ref="N29">SUM(N26:N28)</f>
        <v>0</v>
      </c>
      <c r="O29" s="85" cm="1">
        <f t="array" ref="O29">SUM(O26:O28)</f>
        <v>0</v>
      </c>
      <c r="P29" s="44"/>
      <c r="Q29" s="85" cm="1">
        <f t="array" ref="Q29">SUM(Q26:Q28)</f>
        <v>0</v>
      </c>
      <c r="R29" s="39"/>
      <c r="S29" s="18"/>
      <c r="T29" s="18"/>
      <c r="U29" s="18"/>
      <c r="V29" s="18"/>
      <c r="W29" s="18"/>
      <c r="X29" s="31"/>
      <c r="Y29" s="45"/>
    </row>
    <row r="30" ht="20" customHeight="1">
      <c r="A30" s="27"/>
      <c r="B30" s="74"/>
      <c r="C30" s="84"/>
      <c r="D30" s="74"/>
      <c r="E30" s="74"/>
      <c r="F30" s="74"/>
      <c r="G30" s="74"/>
      <c r="H30" s="74"/>
      <c r="I30" s="74"/>
      <c r="J30" s="74"/>
      <c r="K30" s="74"/>
      <c r="L30" s="74"/>
      <c r="M30" s="74"/>
      <c r="N30" s="74"/>
      <c r="O30" s="74"/>
      <c r="P30" s="62"/>
      <c r="Q30" s="74"/>
      <c r="R30" s="31"/>
      <c r="S30" s="18"/>
      <c r="T30" s="18"/>
      <c r="U30" s="18"/>
      <c r="V30" s="18"/>
      <c r="W30" s="18"/>
      <c r="X30" s="31"/>
      <c r="Y30" s="45"/>
    </row>
    <row r="31" ht="20" customHeight="1">
      <c r="A31" s="40"/>
      <c r="B31" t="s" s="41">
        <v>44</v>
      </c>
      <c r="C31" s="42"/>
      <c r="D31" s="85" cm="1">
        <f t="array" ref="D31">D23-D29</f>
        <v>0</v>
      </c>
      <c r="E31" s="85" cm="1">
        <f t="array" ref="E31">E23-E29</f>
        <v>0</v>
      </c>
      <c r="F31" s="85" cm="1">
        <f t="array" ref="F31">F23-F29</f>
        <v>0</v>
      </c>
      <c r="G31" s="85" cm="1">
        <f t="array" ref="G31">G23-G29</f>
        <v>0</v>
      </c>
      <c r="H31" s="85" cm="1">
        <f t="array" ref="H31">H23-H29</f>
        <v>0</v>
      </c>
      <c r="I31" s="85" cm="1">
        <f t="array" ref="I31">I23-I29</f>
        <v>0</v>
      </c>
      <c r="J31" s="85" cm="1">
        <f t="array" ref="J31">J23-J29</f>
        <v>0</v>
      </c>
      <c r="K31" s="85" cm="1">
        <f t="array" ref="K31">K23-K29</f>
        <v>0</v>
      </c>
      <c r="L31" s="85" cm="1">
        <f t="array" ref="L31">L23-L29</f>
        <v>0</v>
      </c>
      <c r="M31" s="85" cm="1">
        <f t="array" ref="M31">M23-M29</f>
        <v>0</v>
      </c>
      <c r="N31" s="85" cm="1">
        <f t="array" ref="N31">N23-N29</f>
        <v>0</v>
      </c>
      <c r="O31" s="85" cm="1">
        <f t="array" ref="O31">O23-O29</f>
        <v>0</v>
      </c>
      <c r="P31" s="44"/>
      <c r="Q31" s="85" cm="1">
        <f t="array" ref="Q31">Q23-Q29</f>
        <v>0</v>
      </c>
      <c r="R31" s="39"/>
      <c r="S31" s="18"/>
      <c r="T31" s="18"/>
      <c r="U31" s="18"/>
      <c r="V31" s="18"/>
      <c r="W31" s="18"/>
      <c r="X31" s="31"/>
      <c r="Y31" s="45"/>
    </row>
    <row r="32" ht="20" customHeight="1">
      <c r="A32" s="27"/>
      <c r="B32" s="86"/>
      <c r="C32" s="84"/>
      <c r="D32" s="87"/>
      <c r="E32" s="87"/>
      <c r="F32" s="87"/>
      <c r="G32" s="87"/>
      <c r="H32" s="87"/>
      <c r="I32" s="87"/>
      <c r="J32" s="87"/>
      <c r="K32" s="87"/>
      <c r="L32" s="87"/>
      <c r="M32" s="87"/>
      <c r="N32" s="87"/>
      <c r="O32" s="87"/>
      <c r="P32" s="62"/>
      <c r="Q32" s="87"/>
      <c r="R32" s="31"/>
      <c r="S32" s="18"/>
      <c r="T32" s="18"/>
      <c r="U32" s="18"/>
      <c r="V32" s="18"/>
      <c r="W32" s="18"/>
      <c r="X32" s="31"/>
      <c r="Y32" s="45"/>
    </row>
    <row r="33" ht="20" customHeight="1">
      <c r="A33" s="40"/>
      <c r="B33" t="s" s="88">
        <v>45</v>
      </c>
      <c r="C33" s="89"/>
      <c r="D33" s="89"/>
      <c r="E33" s="89"/>
      <c r="F33" s="89"/>
      <c r="G33" s="89"/>
      <c r="H33" s="89"/>
      <c r="I33" s="89"/>
      <c r="J33" s="89"/>
      <c r="K33" s="89"/>
      <c r="L33" s="89"/>
      <c r="M33" s="89"/>
      <c r="N33" s="89"/>
      <c r="O33" s="90"/>
      <c r="P33" s="44"/>
      <c r="Q33" s="91"/>
      <c r="R33" s="39"/>
      <c r="S33" s="18"/>
      <c r="T33" s="18"/>
      <c r="U33" s="18"/>
      <c r="V33" s="18"/>
      <c r="W33" s="18"/>
      <c r="X33" s="31"/>
      <c r="Y33" s="45"/>
    </row>
    <row r="34" ht="20" customHeight="1">
      <c r="A34" s="40"/>
      <c r="B34" t="s" s="92">
        <v>150</v>
      </c>
      <c r="C34" t="s" s="67">
        <v>11</v>
      </c>
      <c r="D34" t="s" s="67">
        <v>12</v>
      </c>
      <c r="E34" t="s" s="67">
        <v>13</v>
      </c>
      <c r="F34" t="s" s="67">
        <v>14</v>
      </c>
      <c r="G34" t="s" s="67">
        <v>15</v>
      </c>
      <c r="H34" t="s" s="67">
        <v>16</v>
      </c>
      <c r="I34" t="s" s="67">
        <v>17</v>
      </c>
      <c r="J34" t="s" s="67">
        <v>18</v>
      </c>
      <c r="K34" t="s" s="67">
        <v>19</v>
      </c>
      <c r="L34" t="s" s="67">
        <v>20</v>
      </c>
      <c r="M34" t="s" s="67">
        <v>21</v>
      </c>
      <c r="N34" t="s" s="67">
        <v>22</v>
      </c>
      <c r="O34" t="s" s="67">
        <v>23</v>
      </c>
      <c r="P34" s="44"/>
      <c r="Q34" t="s" s="67">
        <v>24</v>
      </c>
      <c r="R34" s="39"/>
      <c r="S34" s="18"/>
      <c r="T34" s="18"/>
      <c r="U34" s="18"/>
      <c r="V34" s="18"/>
      <c r="W34" s="18"/>
      <c r="X34" s="31"/>
      <c r="Y34" s="45"/>
    </row>
    <row r="35" ht="20" customHeight="1">
      <c r="A35" s="40"/>
      <c r="B35" t="s" s="68">
        <v>188</v>
      </c>
      <c r="C35" s="79"/>
      <c r="D35" s="133">
        <v>0</v>
      </c>
      <c r="E35" s="133">
        <v>0</v>
      </c>
      <c r="F35" s="133">
        <v>0</v>
      </c>
      <c r="G35" s="133">
        <v>0</v>
      </c>
      <c r="H35" s="133">
        <v>0</v>
      </c>
      <c r="I35" s="133">
        <v>0</v>
      </c>
      <c r="J35" s="133">
        <v>0</v>
      </c>
      <c r="K35" s="133">
        <v>0</v>
      </c>
      <c r="L35" s="133">
        <v>0</v>
      </c>
      <c r="M35" s="133">
        <v>0</v>
      </c>
      <c r="N35" s="133">
        <v>0</v>
      </c>
      <c r="O35" s="133">
        <v>0</v>
      </c>
      <c r="P35" s="96"/>
      <c r="Q35" s="133" cm="1">
        <f t="array" ref="Q35">SUM(D35:O35)</f>
        <v>0</v>
      </c>
      <c r="R35" s="47"/>
      <c r="S35" s="18"/>
      <c r="T35" s="18"/>
      <c r="U35" s="18"/>
      <c r="V35" s="18"/>
      <c r="W35" s="18"/>
      <c r="X35" s="18"/>
      <c r="Y35" s="19"/>
    </row>
    <row r="36" ht="20" customHeight="1">
      <c r="A36" s="93"/>
      <c r="B36" t="s" s="68">
        <v>189</v>
      </c>
      <c r="C36" s="79"/>
      <c r="D36" s="133">
        <v>0</v>
      </c>
      <c r="E36" s="133">
        <v>0</v>
      </c>
      <c r="F36" s="133">
        <v>0</v>
      </c>
      <c r="G36" s="133">
        <v>0</v>
      </c>
      <c r="H36" s="133">
        <v>0</v>
      </c>
      <c r="I36" s="133">
        <v>0</v>
      </c>
      <c r="J36" s="133">
        <v>0</v>
      </c>
      <c r="K36" s="133">
        <v>0</v>
      </c>
      <c r="L36" s="133">
        <v>0</v>
      </c>
      <c r="M36" s="133">
        <v>0</v>
      </c>
      <c r="N36" s="133">
        <v>0</v>
      </c>
      <c r="O36" s="133">
        <v>0</v>
      </c>
      <c r="P36" s="44"/>
      <c r="Q36" s="133" cm="1">
        <f t="array" ref="Q36">SUM(D36:O36)</f>
        <v>0</v>
      </c>
      <c r="R36" s="39"/>
      <c r="S36" s="31"/>
      <c r="T36" s="31"/>
      <c r="U36" s="31"/>
      <c r="V36" s="31"/>
      <c r="W36" s="31"/>
      <c r="X36" s="31"/>
      <c r="Y36" s="45"/>
    </row>
    <row r="37" ht="20" customHeight="1">
      <c r="A37" s="40"/>
      <c r="B37" t="s" s="68">
        <v>190</v>
      </c>
      <c r="C37" s="79"/>
      <c r="D37" s="133">
        <v>0</v>
      </c>
      <c r="E37" s="133">
        <v>0</v>
      </c>
      <c r="F37" s="133">
        <v>0</v>
      </c>
      <c r="G37" s="133">
        <v>0</v>
      </c>
      <c r="H37" s="133">
        <v>0</v>
      </c>
      <c r="I37" s="133">
        <v>0</v>
      </c>
      <c r="J37" s="133">
        <v>0</v>
      </c>
      <c r="K37" s="133">
        <v>0</v>
      </c>
      <c r="L37" s="133">
        <v>0</v>
      </c>
      <c r="M37" s="133">
        <v>0</v>
      </c>
      <c r="N37" s="133">
        <v>0</v>
      </c>
      <c r="O37" s="133">
        <v>0</v>
      </c>
      <c r="P37" s="96"/>
      <c r="Q37" s="133" cm="1">
        <f t="array" ref="Q37">SUM(D37:O37)</f>
        <v>0</v>
      </c>
      <c r="R37" s="47"/>
      <c r="S37" s="18"/>
      <c r="T37" s="18"/>
      <c r="U37" s="18"/>
      <c r="V37" s="18"/>
      <c r="W37" s="18"/>
      <c r="X37" s="18"/>
      <c r="Y37" s="19"/>
    </row>
    <row r="38" ht="20" customHeight="1">
      <c r="A38" s="40"/>
      <c r="B38" t="s" s="68">
        <v>191</v>
      </c>
      <c r="C38" s="79"/>
      <c r="D38" s="133">
        <v>0</v>
      </c>
      <c r="E38" s="133">
        <v>0</v>
      </c>
      <c r="F38" s="133">
        <v>0</v>
      </c>
      <c r="G38" s="133">
        <v>0</v>
      </c>
      <c r="H38" s="133">
        <v>0</v>
      </c>
      <c r="I38" s="133">
        <v>0</v>
      </c>
      <c r="J38" s="133">
        <v>0</v>
      </c>
      <c r="K38" s="133">
        <v>0</v>
      </c>
      <c r="L38" s="133">
        <v>0</v>
      </c>
      <c r="M38" s="133">
        <v>0</v>
      </c>
      <c r="N38" s="133">
        <v>0</v>
      </c>
      <c r="O38" s="133">
        <v>0</v>
      </c>
      <c r="P38" s="44"/>
      <c r="Q38" s="133" cm="1">
        <f t="array" ref="Q38">SUM(D38:O38)</f>
        <v>0</v>
      </c>
      <c r="R38" s="39"/>
      <c r="S38" s="18"/>
      <c r="T38" s="18"/>
      <c r="U38" s="18"/>
      <c r="V38" s="18"/>
      <c r="W38" s="18"/>
      <c r="X38" s="18"/>
      <c r="Y38" s="19"/>
    </row>
    <row r="39" ht="20" customHeight="1">
      <c r="A39" s="40"/>
      <c r="B39" t="s" s="68">
        <v>192</v>
      </c>
      <c r="C39" s="79"/>
      <c r="D39" s="133">
        <v>0</v>
      </c>
      <c r="E39" s="133">
        <v>0</v>
      </c>
      <c r="F39" s="133">
        <v>0</v>
      </c>
      <c r="G39" s="133">
        <v>0</v>
      </c>
      <c r="H39" s="133">
        <v>0</v>
      </c>
      <c r="I39" s="133">
        <v>0</v>
      </c>
      <c r="J39" s="133">
        <v>0</v>
      </c>
      <c r="K39" s="133">
        <v>0</v>
      </c>
      <c r="L39" s="133">
        <v>0</v>
      </c>
      <c r="M39" s="133">
        <v>0</v>
      </c>
      <c r="N39" s="133">
        <v>0</v>
      </c>
      <c r="O39" s="133">
        <v>0</v>
      </c>
      <c r="P39" s="44"/>
      <c r="Q39" s="133" cm="1">
        <f t="array" ref="Q39">SUM(D39:O39)</f>
        <v>0</v>
      </c>
      <c r="R39" s="39"/>
      <c r="S39" s="18"/>
      <c r="T39" s="18"/>
      <c r="U39" s="18"/>
      <c r="V39" s="18"/>
      <c r="W39" s="18"/>
      <c r="X39" s="18"/>
      <c r="Y39" s="19"/>
    </row>
    <row r="40" ht="20" customHeight="1">
      <c r="A40" s="40"/>
      <c r="B40" t="s" s="68">
        <v>193</v>
      </c>
      <c r="C40" s="79"/>
      <c r="D40" s="133">
        <v>0</v>
      </c>
      <c r="E40" s="133">
        <v>0</v>
      </c>
      <c r="F40" s="133">
        <v>0</v>
      </c>
      <c r="G40" s="133">
        <v>0</v>
      </c>
      <c r="H40" s="133">
        <v>0</v>
      </c>
      <c r="I40" s="133">
        <v>0</v>
      </c>
      <c r="J40" s="133">
        <v>0</v>
      </c>
      <c r="K40" s="133">
        <v>0</v>
      </c>
      <c r="L40" s="133">
        <v>0</v>
      </c>
      <c r="M40" s="133">
        <v>0</v>
      </c>
      <c r="N40" s="133">
        <v>0</v>
      </c>
      <c r="O40" s="133">
        <v>0</v>
      </c>
      <c r="P40" s="96"/>
      <c r="Q40" s="133" cm="1">
        <f t="array" ref="Q40">SUM(D40:O40)</f>
        <v>0</v>
      </c>
      <c r="R40" s="47"/>
      <c r="S40" s="18"/>
      <c r="T40" s="18"/>
      <c r="U40" s="18"/>
      <c r="V40" s="18"/>
      <c r="W40" s="18"/>
      <c r="X40" s="18"/>
      <c r="Y40" s="19"/>
    </row>
    <row r="41" ht="20" customHeight="1">
      <c r="A41" s="93"/>
      <c r="B41" t="s" s="68">
        <v>194</v>
      </c>
      <c r="C41" s="79"/>
      <c r="D41" s="133">
        <v>0</v>
      </c>
      <c r="E41" s="133">
        <v>0</v>
      </c>
      <c r="F41" s="133">
        <v>0</v>
      </c>
      <c r="G41" s="133">
        <v>0</v>
      </c>
      <c r="H41" s="133">
        <v>0</v>
      </c>
      <c r="I41" s="133">
        <v>0</v>
      </c>
      <c r="J41" s="133">
        <v>0</v>
      </c>
      <c r="K41" s="133">
        <v>0</v>
      </c>
      <c r="L41" s="133">
        <v>0</v>
      </c>
      <c r="M41" s="133">
        <v>0</v>
      </c>
      <c r="N41" s="133">
        <v>0</v>
      </c>
      <c r="O41" s="133">
        <v>0</v>
      </c>
      <c r="P41" s="44"/>
      <c r="Q41" s="133" cm="1">
        <f t="array" ref="Q41">SUM(D41:O41)</f>
        <v>0</v>
      </c>
      <c r="R41" s="39"/>
      <c r="S41" s="31"/>
      <c r="T41" s="31"/>
      <c r="U41" s="31"/>
      <c r="V41" s="31"/>
      <c r="W41" s="31"/>
      <c r="X41" s="31"/>
      <c r="Y41" s="45"/>
    </row>
    <row r="42" ht="20" customHeight="1">
      <c r="A42" s="40"/>
      <c r="B42" t="s" s="68">
        <v>195</v>
      </c>
      <c r="C42" s="79"/>
      <c r="D42" s="133">
        <v>0</v>
      </c>
      <c r="E42" s="133">
        <v>0</v>
      </c>
      <c r="F42" s="133">
        <v>0</v>
      </c>
      <c r="G42" s="133">
        <v>0</v>
      </c>
      <c r="H42" s="133">
        <v>0</v>
      </c>
      <c r="I42" s="133">
        <v>0</v>
      </c>
      <c r="J42" s="133">
        <v>0</v>
      </c>
      <c r="K42" s="133">
        <v>0</v>
      </c>
      <c r="L42" s="133">
        <v>0</v>
      </c>
      <c r="M42" s="133">
        <v>0</v>
      </c>
      <c r="N42" s="133">
        <v>0</v>
      </c>
      <c r="O42" s="133">
        <v>0</v>
      </c>
      <c r="P42" s="96"/>
      <c r="Q42" s="133" cm="1">
        <f t="array" ref="Q42">SUM(D42:O42)</f>
        <v>0</v>
      </c>
      <c r="R42" s="47"/>
      <c r="S42" s="18"/>
      <c r="T42" s="18"/>
      <c r="U42" s="18"/>
      <c r="V42" s="18"/>
      <c r="W42" s="18"/>
      <c r="X42" s="18"/>
      <c r="Y42" s="19"/>
    </row>
    <row r="43" ht="20" customHeight="1">
      <c r="A43" s="40"/>
      <c r="B43" t="s" s="68">
        <v>50</v>
      </c>
      <c r="C43" s="79"/>
      <c r="D43" s="133">
        <v>0</v>
      </c>
      <c r="E43" s="133">
        <v>0</v>
      </c>
      <c r="F43" s="133">
        <v>0</v>
      </c>
      <c r="G43" s="133">
        <v>0</v>
      </c>
      <c r="H43" s="133">
        <v>0</v>
      </c>
      <c r="I43" s="133">
        <v>0</v>
      </c>
      <c r="J43" s="133">
        <v>0</v>
      </c>
      <c r="K43" s="133">
        <v>0</v>
      </c>
      <c r="L43" s="133">
        <v>0</v>
      </c>
      <c r="M43" s="133">
        <v>0</v>
      </c>
      <c r="N43" s="133">
        <v>0</v>
      </c>
      <c r="O43" s="133">
        <v>0</v>
      </c>
      <c r="P43" s="44"/>
      <c r="Q43" s="133" cm="1">
        <f t="array" ref="Q43">SUM(D43:O43)</f>
        <v>0</v>
      </c>
      <c r="R43" s="39"/>
      <c r="S43" s="18"/>
      <c r="T43" s="18"/>
      <c r="U43" s="18"/>
      <c r="V43" s="18"/>
      <c r="W43" s="18"/>
      <c r="X43" s="18"/>
      <c r="Y43" s="19"/>
    </row>
    <row r="44" ht="20" customHeight="1">
      <c r="A44" s="40"/>
      <c r="B44" t="s" s="72">
        <v>51</v>
      </c>
      <c r="C44" s="42"/>
      <c r="D44" s="85" cm="1">
        <f t="array" ref="D44">SUM(D35:D43)</f>
        <v>0</v>
      </c>
      <c r="E44" s="85" cm="1">
        <f t="array" ref="E44">SUM(E35:E43)</f>
        <v>0</v>
      </c>
      <c r="F44" s="85" cm="1">
        <f t="array" ref="F44">SUM(F35:F43)</f>
        <v>0</v>
      </c>
      <c r="G44" s="85" cm="1">
        <f t="array" ref="G44">SUM(G35:G43)</f>
        <v>0</v>
      </c>
      <c r="H44" s="85" cm="1">
        <f t="array" ref="H44">SUM(H35:H43)</f>
        <v>0</v>
      </c>
      <c r="I44" s="85" cm="1">
        <f t="array" ref="I44">SUM(I35:I43)</f>
        <v>0</v>
      </c>
      <c r="J44" s="85" cm="1">
        <f t="array" ref="J44">SUM(J35:J43)</f>
        <v>0</v>
      </c>
      <c r="K44" s="85" cm="1">
        <f t="array" ref="K44">SUM(K35:K43)</f>
        <v>0</v>
      </c>
      <c r="L44" s="85" cm="1">
        <f t="array" ref="L44">SUM(L35:L43)</f>
        <v>0</v>
      </c>
      <c r="M44" s="85" cm="1">
        <f t="array" ref="M44">SUM(M35:M43)</f>
        <v>0</v>
      </c>
      <c r="N44" s="85" cm="1">
        <f t="array" ref="N44">SUM(N35:N43)</f>
        <v>0</v>
      </c>
      <c r="O44" s="85" cm="1">
        <f t="array" ref="O44">SUM(O35:O43)</f>
        <v>0</v>
      </c>
      <c r="P44" s="96"/>
      <c r="Q44" s="85" cm="1">
        <f t="array" ref="Q44">SUM(Q35:Q43)</f>
        <v>0</v>
      </c>
      <c r="R44" s="47"/>
      <c r="S44" s="18"/>
      <c r="T44" s="18"/>
      <c r="U44" s="18"/>
      <c r="V44" s="18"/>
      <c r="W44" s="18"/>
      <c r="X44" s="18"/>
      <c r="Y44" s="19"/>
    </row>
    <row r="45" ht="20" customHeight="1">
      <c r="A45" s="27"/>
      <c r="B45" s="97"/>
      <c r="C45" s="74"/>
      <c r="D45" s="97"/>
      <c r="E45" s="97"/>
      <c r="F45" s="97"/>
      <c r="G45" s="97"/>
      <c r="H45" s="97"/>
      <c r="I45" s="97"/>
      <c r="J45" s="97"/>
      <c r="K45" s="97"/>
      <c r="L45" s="97"/>
      <c r="M45" s="97"/>
      <c r="N45" s="97"/>
      <c r="O45" s="97"/>
      <c r="P45" s="18"/>
      <c r="Q45" s="97"/>
      <c r="R45" s="18"/>
      <c r="S45" s="18"/>
      <c r="T45" s="18"/>
      <c r="U45" s="18"/>
      <c r="V45" s="18"/>
      <c r="W45" s="18"/>
      <c r="X45" s="18"/>
      <c r="Y45" s="19"/>
    </row>
    <row r="46" ht="20" customHeight="1">
      <c r="A46" s="40"/>
      <c r="B46" t="s" s="92">
        <v>154</v>
      </c>
      <c r="C46" t="s" s="67">
        <v>11</v>
      </c>
      <c r="D46" t="s" s="67">
        <v>12</v>
      </c>
      <c r="E46" t="s" s="67">
        <v>13</v>
      </c>
      <c r="F46" t="s" s="67">
        <v>14</v>
      </c>
      <c r="G46" t="s" s="67">
        <v>15</v>
      </c>
      <c r="H46" t="s" s="67">
        <v>16</v>
      </c>
      <c r="I46" t="s" s="67">
        <v>17</v>
      </c>
      <c r="J46" t="s" s="67">
        <v>18</v>
      </c>
      <c r="K46" t="s" s="67">
        <v>19</v>
      </c>
      <c r="L46" t="s" s="67">
        <v>20</v>
      </c>
      <c r="M46" t="s" s="67">
        <v>21</v>
      </c>
      <c r="N46" t="s" s="67">
        <v>22</v>
      </c>
      <c r="O46" t="s" s="67">
        <v>23</v>
      </c>
      <c r="P46" s="46"/>
      <c r="Q46" t="s" s="67">
        <v>24</v>
      </c>
      <c r="R46" s="47"/>
      <c r="S46" s="18"/>
      <c r="T46" s="18"/>
      <c r="U46" s="18"/>
      <c r="V46" s="18"/>
      <c r="W46" s="18"/>
      <c r="X46" s="18"/>
      <c r="Y46" s="19"/>
    </row>
    <row r="47" ht="20" customHeight="1">
      <c r="A47" s="40"/>
      <c r="B47" t="s" s="68">
        <v>155</v>
      </c>
      <c r="C47" s="79"/>
      <c r="D47" s="133">
        <v>0</v>
      </c>
      <c r="E47" s="133">
        <v>0</v>
      </c>
      <c r="F47" s="133">
        <v>0</v>
      </c>
      <c r="G47" s="133">
        <v>0</v>
      </c>
      <c r="H47" s="133">
        <v>0</v>
      </c>
      <c r="I47" s="133">
        <v>0</v>
      </c>
      <c r="J47" s="133">
        <v>0</v>
      </c>
      <c r="K47" s="133">
        <v>0</v>
      </c>
      <c r="L47" s="133">
        <v>0</v>
      </c>
      <c r="M47" s="133">
        <v>0</v>
      </c>
      <c r="N47" s="133">
        <v>0</v>
      </c>
      <c r="O47" s="133">
        <v>0</v>
      </c>
      <c r="P47" s="46"/>
      <c r="Q47" s="133" cm="1">
        <f t="array" ref="Q47">SUM(D47:O47)</f>
        <v>0</v>
      </c>
      <c r="R47" s="47"/>
      <c r="S47" s="18"/>
      <c r="T47" s="18"/>
      <c r="U47" s="18"/>
      <c r="V47" s="18"/>
      <c r="W47" s="18"/>
      <c r="X47" s="18"/>
      <c r="Y47" s="19"/>
    </row>
    <row r="48" ht="20" customHeight="1">
      <c r="A48" s="40"/>
      <c r="B48" t="s" s="68">
        <v>156</v>
      </c>
      <c r="C48" s="79"/>
      <c r="D48" s="133">
        <v>0</v>
      </c>
      <c r="E48" s="133">
        <v>0</v>
      </c>
      <c r="F48" s="133">
        <v>0</v>
      </c>
      <c r="G48" s="133">
        <v>0</v>
      </c>
      <c r="H48" s="133">
        <v>0</v>
      </c>
      <c r="I48" s="133">
        <v>0</v>
      </c>
      <c r="J48" s="133">
        <v>0</v>
      </c>
      <c r="K48" s="133">
        <v>0</v>
      </c>
      <c r="L48" s="133">
        <v>0</v>
      </c>
      <c r="M48" s="133">
        <v>0</v>
      </c>
      <c r="N48" s="133">
        <v>0</v>
      </c>
      <c r="O48" s="133">
        <v>0</v>
      </c>
      <c r="P48" s="46"/>
      <c r="Q48" s="133" cm="1">
        <f t="array" ref="Q48">SUM(D48:O48)</f>
        <v>0</v>
      </c>
      <c r="R48" s="47"/>
      <c r="S48" s="18"/>
      <c r="T48" s="18"/>
      <c r="U48" s="18"/>
      <c r="V48" s="18"/>
      <c r="W48" s="18"/>
      <c r="X48" s="18"/>
      <c r="Y48" s="19"/>
    </row>
    <row r="49" ht="20" customHeight="1">
      <c r="A49" s="40"/>
      <c r="B49" t="s" s="68">
        <v>157</v>
      </c>
      <c r="C49" s="79"/>
      <c r="D49" s="133">
        <v>0</v>
      </c>
      <c r="E49" s="133">
        <v>0</v>
      </c>
      <c r="F49" s="133">
        <v>0</v>
      </c>
      <c r="G49" s="133">
        <v>0</v>
      </c>
      <c r="H49" s="133">
        <v>0</v>
      </c>
      <c r="I49" s="133">
        <v>0</v>
      </c>
      <c r="J49" s="133">
        <v>0</v>
      </c>
      <c r="K49" s="133">
        <v>0</v>
      </c>
      <c r="L49" s="133">
        <v>0</v>
      </c>
      <c r="M49" s="133">
        <v>0</v>
      </c>
      <c r="N49" s="133">
        <v>0</v>
      </c>
      <c r="O49" s="133">
        <v>0</v>
      </c>
      <c r="P49" s="46"/>
      <c r="Q49" s="133" cm="1">
        <f t="array" ref="Q49">SUM(D49:O49)</f>
        <v>0</v>
      </c>
      <c r="R49" s="47"/>
      <c r="S49" s="18"/>
      <c r="T49" s="18"/>
      <c r="U49" s="18"/>
      <c r="V49" s="18"/>
      <c r="W49" s="18"/>
      <c r="X49" s="18"/>
      <c r="Y49" s="19"/>
    </row>
    <row r="50" ht="20" customHeight="1">
      <c r="A50" s="40"/>
      <c r="B50" t="s" s="68">
        <v>50</v>
      </c>
      <c r="C50" s="79"/>
      <c r="D50" s="133">
        <v>0</v>
      </c>
      <c r="E50" s="133">
        <v>0</v>
      </c>
      <c r="F50" s="133">
        <v>0</v>
      </c>
      <c r="G50" s="133">
        <v>0</v>
      </c>
      <c r="H50" s="133">
        <v>0</v>
      </c>
      <c r="I50" s="133">
        <v>0</v>
      </c>
      <c r="J50" s="133">
        <v>0</v>
      </c>
      <c r="K50" s="133">
        <v>0</v>
      </c>
      <c r="L50" s="133">
        <v>0</v>
      </c>
      <c r="M50" s="133">
        <v>0</v>
      </c>
      <c r="N50" s="133">
        <v>0</v>
      </c>
      <c r="O50" s="133">
        <v>0</v>
      </c>
      <c r="P50" s="46"/>
      <c r="Q50" s="133" cm="1">
        <f t="array" ref="Q50">SUM(D50:O50)</f>
        <v>0</v>
      </c>
      <c r="R50" s="47"/>
      <c r="S50" s="18"/>
      <c r="T50" s="18"/>
      <c r="U50" s="18"/>
      <c r="V50" s="18"/>
      <c r="W50" s="18"/>
      <c r="X50" s="18"/>
      <c r="Y50" s="19"/>
    </row>
    <row r="51" ht="20" customHeight="1">
      <c r="A51" s="40"/>
      <c r="B51" t="s" s="68">
        <v>50</v>
      </c>
      <c r="C51" s="79"/>
      <c r="D51" s="133">
        <v>0</v>
      </c>
      <c r="E51" s="133">
        <v>0</v>
      </c>
      <c r="F51" s="133">
        <v>0</v>
      </c>
      <c r="G51" s="133">
        <v>0</v>
      </c>
      <c r="H51" s="133">
        <v>0</v>
      </c>
      <c r="I51" s="133">
        <v>0</v>
      </c>
      <c r="J51" s="133">
        <v>0</v>
      </c>
      <c r="K51" s="133">
        <v>0</v>
      </c>
      <c r="L51" s="133">
        <v>0</v>
      </c>
      <c r="M51" s="133">
        <v>0</v>
      </c>
      <c r="N51" s="133">
        <v>0</v>
      </c>
      <c r="O51" s="133">
        <v>0</v>
      </c>
      <c r="P51" s="46"/>
      <c r="Q51" s="133" cm="1">
        <f t="array" ref="Q51">SUM(D51:O51)</f>
        <v>0</v>
      </c>
      <c r="R51" s="47"/>
      <c r="S51" s="18"/>
      <c r="T51" s="18"/>
      <c r="U51" s="18"/>
      <c r="V51" s="18"/>
      <c r="W51" s="18"/>
      <c r="X51" s="18"/>
      <c r="Y51" s="19"/>
    </row>
    <row r="52" ht="20" customHeight="1">
      <c r="A52" s="40"/>
      <c r="B52" s="98"/>
      <c r="C52" s="42"/>
      <c r="D52" s="85" cm="1">
        <f t="array" ref="D52">SUM(D47:D51)</f>
        <v>0</v>
      </c>
      <c r="E52" s="85" cm="1">
        <f t="array" ref="E52">SUM(E47:E51)</f>
        <v>0</v>
      </c>
      <c r="F52" s="85" cm="1">
        <f t="array" ref="F52">SUM(F47:F51)</f>
        <v>0</v>
      </c>
      <c r="G52" s="85" cm="1">
        <f t="array" ref="G52">SUM(G47:G51)</f>
        <v>0</v>
      </c>
      <c r="H52" s="85" cm="1">
        <f t="array" ref="H52">SUM(H47:H51)</f>
        <v>0</v>
      </c>
      <c r="I52" s="85" cm="1">
        <f t="array" ref="I52">SUM(I47:I51)</f>
        <v>0</v>
      </c>
      <c r="J52" s="85" cm="1">
        <f t="array" ref="J52">SUM(J47:J51)</f>
        <v>0</v>
      </c>
      <c r="K52" s="85" cm="1">
        <f t="array" ref="K52">SUM(K47:K51)</f>
        <v>0</v>
      </c>
      <c r="L52" s="85" cm="1">
        <f t="array" ref="L52">SUM(L47:L51)</f>
        <v>0</v>
      </c>
      <c r="M52" s="85" cm="1">
        <f t="array" ref="M52">SUM(M47:M51)</f>
        <v>0</v>
      </c>
      <c r="N52" s="85" cm="1">
        <f t="array" ref="N52">SUM(N47:N51)</f>
        <v>0</v>
      </c>
      <c r="O52" s="85" cm="1">
        <f t="array" ref="O52">SUM(O47:O51)</f>
        <v>0</v>
      </c>
      <c r="P52" s="46"/>
      <c r="Q52" s="85" cm="1">
        <f t="array" ref="Q52">SUM(Q47:Q51)</f>
        <v>0</v>
      </c>
      <c r="R52" s="47"/>
      <c r="S52" s="18"/>
      <c r="T52" s="18"/>
      <c r="U52" s="18"/>
      <c r="V52" s="18"/>
      <c r="W52" s="18"/>
      <c r="X52" s="18"/>
      <c r="Y52" s="19"/>
    </row>
    <row r="53" ht="20" customHeight="1">
      <c r="A53" s="27"/>
      <c r="B53" s="97"/>
      <c r="C53" s="74"/>
      <c r="D53" s="97"/>
      <c r="E53" s="97"/>
      <c r="F53" s="97"/>
      <c r="G53" s="97"/>
      <c r="H53" s="97"/>
      <c r="I53" s="97"/>
      <c r="J53" s="97"/>
      <c r="K53" s="97"/>
      <c r="L53" s="97"/>
      <c r="M53" s="97"/>
      <c r="N53" s="97"/>
      <c r="O53" s="97"/>
      <c r="P53" s="18"/>
      <c r="Q53" s="97"/>
      <c r="R53" s="18"/>
      <c r="S53" s="18"/>
      <c r="T53" s="18"/>
      <c r="U53" s="18"/>
      <c r="V53" s="18"/>
      <c r="W53" s="18"/>
      <c r="X53" s="18"/>
      <c r="Y53" s="19"/>
    </row>
    <row r="54" ht="20" customHeight="1">
      <c r="A54" s="40"/>
      <c r="B54" t="s" s="92">
        <v>60</v>
      </c>
      <c r="C54" t="s" s="67">
        <v>11</v>
      </c>
      <c r="D54" t="s" s="67">
        <v>12</v>
      </c>
      <c r="E54" t="s" s="67">
        <v>13</v>
      </c>
      <c r="F54" t="s" s="67">
        <v>14</v>
      </c>
      <c r="G54" t="s" s="67">
        <v>15</v>
      </c>
      <c r="H54" t="s" s="67">
        <v>16</v>
      </c>
      <c r="I54" t="s" s="67">
        <v>17</v>
      </c>
      <c r="J54" t="s" s="67">
        <v>18</v>
      </c>
      <c r="K54" t="s" s="67">
        <v>19</v>
      </c>
      <c r="L54" t="s" s="67">
        <v>20</v>
      </c>
      <c r="M54" t="s" s="67">
        <v>21</v>
      </c>
      <c r="N54" t="s" s="67">
        <v>22</v>
      </c>
      <c r="O54" t="s" s="67">
        <v>23</v>
      </c>
      <c r="P54" s="46"/>
      <c r="Q54" t="s" s="67">
        <v>24</v>
      </c>
      <c r="R54" s="47"/>
      <c r="S54" s="18"/>
      <c r="T54" s="18"/>
      <c r="U54" s="18"/>
      <c r="V54" s="18"/>
      <c r="W54" s="18"/>
      <c r="X54" s="18"/>
      <c r="Y54" s="19"/>
    </row>
    <row r="55" ht="20" customHeight="1">
      <c r="A55" s="40"/>
      <c r="B55" t="s" s="68">
        <v>61</v>
      </c>
      <c r="C55" s="79"/>
      <c r="D55" s="133">
        <v>0</v>
      </c>
      <c r="E55" s="133">
        <v>0</v>
      </c>
      <c r="F55" s="133">
        <v>0</v>
      </c>
      <c r="G55" s="133">
        <v>0</v>
      </c>
      <c r="H55" s="133">
        <v>0</v>
      </c>
      <c r="I55" s="133">
        <v>0</v>
      </c>
      <c r="J55" s="133">
        <v>0</v>
      </c>
      <c r="K55" s="133">
        <v>0</v>
      </c>
      <c r="L55" s="133">
        <v>0</v>
      </c>
      <c r="M55" s="133">
        <v>0</v>
      </c>
      <c r="N55" s="133">
        <v>0</v>
      </c>
      <c r="O55" s="133">
        <v>0</v>
      </c>
      <c r="P55" s="46"/>
      <c r="Q55" s="133" cm="1">
        <f t="array" ref="Q55">SUM(D55:O55)</f>
        <v>0</v>
      </c>
      <c r="R55" s="47"/>
      <c r="S55" s="18"/>
      <c r="T55" s="18"/>
      <c r="U55" s="18"/>
      <c r="V55" s="18"/>
      <c r="W55" s="18"/>
      <c r="X55" s="18"/>
      <c r="Y55" s="19"/>
    </row>
    <row r="56" ht="20" customHeight="1">
      <c r="A56" s="40"/>
      <c r="B56" t="s" s="68">
        <v>62</v>
      </c>
      <c r="C56" s="79"/>
      <c r="D56" s="133">
        <v>0</v>
      </c>
      <c r="E56" s="133">
        <v>0</v>
      </c>
      <c r="F56" s="133">
        <v>0</v>
      </c>
      <c r="G56" s="133">
        <v>0</v>
      </c>
      <c r="H56" s="133">
        <v>0</v>
      </c>
      <c r="I56" s="133">
        <v>0</v>
      </c>
      <c r="J56" s="133">
        <v>0</v>
      </c>
      <c r="K56" s="133">
        <v>0</v>
      </c>
      <c r="L56" s="133">
        <v>0</v>
      </c>
      <c r="M56" s="133">
        <v>0</v>
      </c>
      <c r="N56" s="133">
        <v>0</v>
      </c>
      <c r="O56" s="133">
        <v>0</v>
      </c>
      <c r="P56" s="46"/>
      <c r="Q56" s="133" cm="1">
        <f t="array" ref="Q56">SUM(D56:O56)</f>
        <v>0</v>
      </c>
      <c r="R56" s="47"/>
      <c r="S56" s="18"/>
      <c r="T56" s="18"/>
      <c r="U56" s="18"/>
      <c r="V56" s="18"/>
      <c r="W56" s="18"/>
      <c r="X56" s="18"/>
      <c r="Y56" s="19"/>
    </row>
    <row r="57" ht="20" customHeight="1">
      <c r="A57" s="40"/>
      <c r="B57" t="s" s="68">
        <v>63</v>
      </c>
      <c r="C57" s="79"/>
      <c r="D57" s="133">
        <v>0</v>
      </c>
      <c r="E57" s="133">
        <v>0</v>
      </c>
      <c r="F57" s="133">
        <v>0</v>
      </c>
      <c r="G57" s="133">
        <v>0</v>
      </c>
      <c r="H57" s="133">
        <v>0</v>
      </c>
      <c r="I57" s="133">
        <v>0</v>
      </c>
      <c r="J57" s="133">
        <v>0</v>
      </c>
      <c r="K57" s="133">
        <v>0</v>
      </c>
      <c r="L57" s="133">
        <v>0</v>
      </c>
      <c r="M57" s="133">
        <v>0</v>
      </c>
      <c r="N57" s="133">
        <v>0</v>
      </c>
      <c r="O57" s="133">
        <v>0</v>
      </c>
      <c r="P57" s="46"/>
      <c r="Q57" s="133" cm="1">
        <f t="array" ref="Q57">SUM(D57:O57)</f>
        <v>0</v>
      </c>
      <c r="R57" s="47"/>
      <c r="S57" s="18"/>
      <c r="T57" s="18"/>
      <c r="U57" s="18"/>
      <c r="V57" s="18"/>
      <c r="W57" s="18"/>
      <c r="X57" s="18"/>
      <c r="Y57" s="19"/>
    </row>
    <row r="58" ht="20" customHeight="1">
      <c r="A58" s="40"/>
      <c r="B58" t="s" s="68">
        <v>64</v>
      </c>
      <c r="C58" s="79"/>
      <c r="D58" s="133">
        <v>0</v>
      </c>
      <c r="E58" s="133">
        <v>0</v>
      </c>
      <c r="F58" s="133">
        <v>0</v>
      </c>
      <c r="G58" s="133">
        <v>0</v>
      </c>
      <c r="H58" s="133">
        <v>0</v>
      </c>
      <c r="I58" s="133">
        <v>0</v>
      </c>
      <c r="J58" s="133">
        <v>0</v>
      </c>
      <c r="K58" s="133">
        <v>0</v>
      </c>
      <c r="L58" s="133">
        <v>0</v>
      </c>
      <c r="M58" s="133">
        <v>0</v>
      </c>
      <c r="N58" s="133">
        <v>0</v>
      </c>
      <c r="O58" s="133">
        <v>0</v>
      </c>
      <c r="P58" s="46"/>
      <c r="Q58" s="133" cm="1">
        <f t="array" ref="Q58">SUM(D58:O58)</f>
        <v>0</v>
      </c>
      <c r="R58" s="47"/>
      <c r="S58" s="18"/>
      <c r="T58" s="18"/>
      <c r="U58" s="18"/>
      <c r="V58" s="18"/>
      <c r="W58" s="18"/>
      <c r="X58" s="18"/>
      <c r="Y58" s="19"/>
    </row>
    <row r="59" ht="20" customHeight="1">
      <c r="A59" s="40"/>
      <c r="B59" t="s" s="68">
        <v>65</v>
      </c>
      <c r="C59" s="79"/>
      <c r="D59" s="133">
        <v>0</v>
      </c>
      <c r="E59" s="133">
        <v>0</v>
      </c>
      <c r="F59" s="133">
        <v>0</v>
      </c>
      <c r="G59" s="133">
        <v>0</v>
      </c>
      <c r="H59" s="133">
        <v>0</v>
      </c>
      <c r="I59" s="133">
        <v>0</v>
      </c>
      <c r="J59" s="133">
        <v>0</v>
      </c>
      <c r="K59" s="133">
        <v>0</v>
      </c>
      <c r="L59" s="133">
        <v>0</v>
      </c>
      <c r="M59" s="133">
        <v>0</v>
      </c>
      <c r="N59" s="133">
        <v>0</v>
      </c>
      <c r="O59" s="133">
        <v>0</v>
      </c>
      <c r="P59" s="46"/>
      <c r="Q59" s="133" cm="1">
        <f t="array" ref="Q59">SUM(D59:O59)</f>
        <v>0</v>
      </c>
      <c r="R59" s="47"/>
      <c r="S59" s="18"/>
      <c r="T59" s="18"/>
      <c r="U59" s="18"/>
      <c r="V59" s="18"/>
      <c r="W59" s="18"/>
      <c r="X59" s="18"/>
      <c r="Y59" s="19"/>
    </row>
    <row r="60" ht="20" customHeight="1">
      <c r="A60" s="40"/>
      <c r="B60" t="s" s="68">
        <v>50</v>
      </c>
      <c r="C60" s="79"/>
      <c r="D60" s="133">
        <v>0</v>
      </c>
      <c r="E60" s="133">
        <v>0</v>
      </c>
      <c r="F60" s="133">
        <v>0</v>
      </c>
      <c r="G60" s="133">
        <v>0</v>
      </c>
      <c r="H60" s="133">
        <v>0</v>
      </c>
      <c r="I60" s="133">
        <v>0</v>
      </c>
      <c r="J60" s="133">
        <v>0</v>
      </c>
      <c r="K60" s="133">
        <v>0</v>
      </c>
      <c r="L60" s="133">
        <v>0</v>
      </c>
      <c r="M60" s="133">
        <v>0</v>
      </c>
      <c r="N60" s="133">
        <v>0</v>
      </c>
      <c r="O60" s="133">
        <v>0</v>
      </c>
      <c r="P60" s="46"/>
      <c r="Q60" s="133" cm="1">
        <f t="array" ref="Q60">SUM(D60:O60)</f>
        <v>0</v>
      </c>
      <c r="R60" s="47"/>
      <c r="S60" s="18"/>
      <c r="T60" s="18"/>
      <c r="U60" s="18"/>
      <c r="V60" s="18"/>
      <c r="W60" s="18"/>
      <c r="X60" s="18"/>
      <c r="Y60" s="19"/>
    </row>
    <row r="61" ht="20" customHeight="1">
      <c r="A61" s="40"/>
      <c r="B61" t="s" s="72">
        <v>66</v>
      </c>
      <c r="C61" s="42"/>
      <c r="D61" s="85" cm="1">
        <f t="array" ref="D61">SUM(D55:D60)</f>
        <v>0</v>
      </c>
      <c r="E61" s="85" cm="1">
        <f t="array" ref="E61">SUM(E55:E60)</f>
        <v>0</v>
      </c>
      <c r="F61" s="85" cm="1">
        <f t="array" ref="F61">SUM(F55:F60)</f>
        <v>0</v>
      </c>
      <c r="G61" s="85" cm="1">
        <f t="array" ref="G61">SUM(G55:G60)</f>
        <v>0</v>
      </c>
      <c r="H61" s="85" cm="1">
        <f t="array" ref="H61">SUM(H55:H60)</f>
        <v>0</v>
      </c>
      <c r="I61" s="85" cm="1">
        <f t="array" ref="I61">SUM(I55:I60)</f>
        <v>0</v>
      </c>
      <c r="J61" s="85" cm="1">
        <f t="array" ref="J61">SUM(J55:J60)</f>
        <v>0</v>
      </c>
      <c r="K61" s="85" cm="1">
        <f t="array" ref="K61">SUM(K55:K60)</f>
        <v>0</v>
      </c>
      <c r="L61" s="85" cm="1">
        <f t="array" ref="L61">SUM(L55:L60)</f>
        <v>0</v>
      </c>
      <c r="M61" s="85" cm="1">
        <f t="array" ref="M61">SUM(M55:M60)</f>
        <v>0</v>
      </c>
      <c r="N61" s="85" cm="1">
        <f t="array" ref="N61">SUM(N55:N60)</f>
        <v>0</v>
      </c>
      <c r="O61" s="85" cm="1">
        <f t="array" ref="O61">SUM(O55:O60)</f>
        <v>0</v>
      </c>
      <c r="P61" s="46"/>
      <c r="Q61" s="85" cm="1">
        <f t="array" ref="Q61">SUM(Q55:Q60)</f>
        <v>0</v>
      </c>
      <c r="R61" s="47"/>
      <c r="S61" s="18"/>
      <c r="T61" s="18"/>
      <c r="U61" s="18"/>
      <c r="V61" s="18"/>
      <c r="W61" s="18"/>
      <c r="X61" s="18"/>
      <c r="Y61" s="19"/>
    </row>
    <row r="62" ht="20" customHeight="1">
      <c r="A62" s="27"/>
      <c r="B62" s="97"/>
      <c r="C62" s="74"/>
      <c r="D62" s="97"/>
      <c r="E62" s="97"/>
      <c r="F62" s="97"/>
      <c r="G62" s="97"/>
      <c r="H62" s="97"/>
      <c r="I62" s="97"/>
      <c r="J62" s="97"/>
      <c r="K62" s="97"/>
      <c r="L62" s="97"/>
      <c r="M62" s="97"/>
      <c r="N62" s="97"/>
      <c r="O62" s="97"/>
      <c r="P62" s="18"/>
      <c r="Q62" s="97"/>
      <c r="R62" s="18"/>
      <c r="S62" s="18"/>
      <c r="T62" s="18"/>
      <c r="U62" s="18"/>
      <c r="V62" s="18"/>
      <c r="W62" s="18"/>
      <c r="X62" s="18"/>
      <c r="Y62" s="19"/>
    </row>
    <row r="63" ht="20" customHeight="1">
      <c r="A63" s="40"/>
      <c r="B63" t="s" s="92">
        <v>67</v>
      </c>
      <c r="C63" t="s" s="67">
        <v>11</v>
      </c>
      <c r="D63" t="s" s="67">
        <v>12</v>
      </c>
      <c r="E63" t="s" s="67">
        <v>13</v>
      </c>
      <c r="F63" t="s" s="67">
        <v>14</v>
      </c>
      <c r="G63" t="s" s="67">
        <v>15</v>
      </c>
      <c r="H63" t="s" s="67">
        <v>16</v>
      </c>
      <c r="I63" t="s" s="67">
        <v>17</v>
      </c>
      <c r="J63" t="s" s="67">
        <v>18</v>
      </c>
      <c r="K63" t="s" s="67">
        <v>19</v>
      </c>
      <c r="L63" t="s" s="67">
        <v>20</v>
      </c>
      <c r="M63" t="s" s="67">
        <v>21</v>
      </c>
      <c r="N63" t="s" s="67">
        <v>22</v>
      </c>
      <c r="O63" t="s" s="67">
        <v>23</v>
      </c>
      <c r="P63" s="46"/>
      <c r="Q63" t="s" s="67">
        <v>24</v>
      </c>
      <c r="R63" s="47"/>
      <c r="S63" s="18"/>
      <c r="T63" s="18"/>
      <c r="U63" s="18"/>
      <c r="V63" s="18"/>
      <c r="W63" s="18"/>
      <c r="X63" s="18"/>
      <c r="Y63" s="19"/>
    </row>
    <row r="64" ht="20" customHeight="1">
      <c r="A64" s="40"/>
      <c r="B64" t="s" s="68">
        <v>163</v>
      </c>
      <c r="C64" s="79"/>
      <c r="D64" s="133">
        <v>0</v>
      </c>
      <c r="E64" s="133">
        <v>0</v>
      </c>
      <c r="F64" s="133">
        <v>0</v>
      </c>
      <c r="G64" s="133">
        <v>0</v>
      </c>
      <c r="H64" s="133">
        <v>0</v>
      </c>
      <c r="I64" s="133">
        <v>0</v>
      </c>
      <c r="J64" s="133">
        <v>0</v>
      </c>
      <c r="K64" s="133">
        <v>0</v>
      </c>
      <c r="L64" s="133">
        <v>0</v>
      </c>
      <c r="M64" s="133">
        <v>0</v>
      </c>
      <c r="N64" s="133">
        <v>0</v>
      </c>
      <c r="O64" s="133">
        <v>0</v>
      </c>
      <c r="P64" s="46"/>
      <c r="Q64" s="133" cm="1">
        <f t="array" ref="Q64">SUM(D64:O64)</f>
        <v>0</v>
      </c>
      <c r="R64" s="47"/>
      <c r="S64" s="18"/>
      <c r="T64" s="18"/>
      <c r="U64" s="18"/>
      <c r="V64" s="18"/>
      <c r="W64" s="18"/>
      <c r="X64" s="18"/>
      <c r="Y64" s="19"/>
    </row>
    <row r="65" ht="20" customHeight="1">
      <c r="A65" s="40"/>
      <c r="B65" t="s" s="68">
        <v>90</v>
      </c>
      <c r="C65" s="79"/>
      <c r="D65" s="133">
        <v>0</v>
      </c>
      <c r="E65" s="133">
        <v>0</v>
      </c>
      <c r="F65" s="133">
        <v>0</v>
      </c>
      <c r="G65" s="133">
        <v>0</v>
      </c>
      <c r="H65" s="133">
        <v>0</v>
      </c>
      <c r="I65" s="133">
        <v>0</v>
      </c>
      <c r="J65" s="133">
        <v>0</v>
      </c>
      <c r="K65" s="133">
        <v>0</v>
      </c>
      <c r="L65" s="133">
        <v>0</v>
      </c>
      <c r="M65" s="133">
        <v>0</v>
      </c>
      <c r="N65" s="133">
        <v>0</v>
      </c>
      <c r="O65" s="133">
        <v>0</v>
      </c>
      <c r="P65" s="46"/>
      <c r="Q65" s="133" cm="1">
        <f t="array" ref="Q65">SUM(D65:O65)</f>
        <v>0</v>
      </c>
      <c r="R65" s="47"/>
      <c r="S65" s="18"/>
      <c r="T65" s="18"/>
      <c r="U65" s="18"/>
      <c r="V65" s="18"/>
      <c r="W65" s="18"/>
      <c r="X65" s="18"/>
      <c r="Y65" s="19"/>
    </row>
    <row r="66" ht="20" customHeight="1">
      <c r="A66" s="40"/>
      <c r="B66" t="s" s="68">
        <v>76</v>
      </c>
      <c r="C66" s="79"/>
      <c r="D66" s="133">
        <v>0</v>
      </c>
      <c r="E66" s="133">
        <v>0</v>
      </c>
      <c r="F66" s="133">
        <v>0</v>
      </c>
      <c r="G66" s="133">
        <v>0</v>
      </c>
      <c r="H66" s="133">
        <v>0</v>
      </c>
      <c r="I66" s="133">
        <v>0</v>
      </c>
      <c r="J66" s="133">
        <v>0</v>
      </c>
      <c r="K66" s="133">
        <v>0</v>
      </c>
      <c r="L66" s="133">
        <v>0</v>
      </c>
      <c r="M66" s="133">
        <v>0</v>
      </c>
      <c r="N66" s="133">
        <v>0</v>
      </c>
      <c r="O66" s="133">
        <v>0</v>
      </c>
      <c r="P66" s="46"/>
      <c r="Q66" s="133" cm="1">
        <f t="array" ref="Q66">SUM(D66:O66)</f>
        <v>0</v>
      </c>
      <c r="R66" s="47"/>
      <c r="S66" s="18"/>
      <c r="T66" s="18"/>
      <c r="U66" s="18"/>
      <c r="V66" s="18"/>
      <c r="W66" s="18"/>
      <c r="X66" s="18"/>
      <c r="Y66" s="19"/>
    </row>
    <row r="67" ht="20" customHeight="1">
      <c r="A67" s="40"/>
      <c r="B67" t="s" s="68">
        <v>166</v>
      </c>
      <c r="C67" s="79"/>
      <c r="D67" s="133">
        <v>0</v>
      </c>
      <c r="E67" s="133">
        <v>0</v>
      </c>
      <c r="F67" s="133">
        <v>0</v>
      </c>
      <c r="G67" s="133">
        <v>0</v>
      </c>
      <c r="H67" s="133">
        <v>0</v>
      </c>
      <c r="I67" s="133">
        <v>0</v>
      </c>
      <c r="J67" s="133">
        <v>0</v>
      </c>
      <c r="K67" s="133">
        <v>0</v>
      </c>
      <c r="L67" s="133">
        <v>0</v>
      </c>
      <c r="M67" s="133">
        <v>0</v>
      </c>
      <c r="N67" s="133">
        <v>0</v>
      </c>
      <c r="O67" s="133">
        <v>0</v>
      </c>
      <c r="P67" s="46"/>
      <c r="Q67" s="133" cm="1">
        <f t="array" ref="Q67">SUM(D67:O67)</f>
        <v>0</v>
      </c>
      <c r="R67" s="47"/>
      <c r="S67" s="18"/>
      <c r="T67" s="18"/>
      <c r="U67" s="18"/>
      <c r="V67" s="18"/>
      <c r="W67" s="18"/>
      <c r="X67" s="18"/>
      <c r="Y67" s="19"/>
    </row>
    <row r="68" ht="20" customHeight="1">
      <c r="A68" s="40"/>
      <c r="B68" t="s" s="68">
        <v>71</v>
      </c>
      <c r="C68" s="79"/>
      <c r="D68" s="133">
        <v>0</v>
      </c>
      <c r="E68" s="133">
        <v>0</v>
      </c>
      <c r="F68" s="133">
        <v>0</v>
      </c>
      <c r="G68" s="133">
        <v>0</v>
      </c>
      <c r="H68" s="133">
        <v>0</v>
      </c>
      <c r="I68" s="133">
        <v>0</v>
      </c>
      <c r="J68" s="133">
        <v>0</v>
      </c>
      <c r="K68" s="133">
        <v>0</v>
      </c>
      <c r="L68" s="133">
        <v>0</v>
      </c>
      <c r="M68" s="133">
        <v>0</v>
      </c>
      <c r="N68" s="133">
        <v>0</v>
      </c>
      <c r="O68" s="133">
        <v>0</v>
      </c>
      <c r="P68" s="46"/>
      <c r="Q68" s="133" cm="1">
        <f t="array" ref="Q68">SUM(D68:O68)</f>
        <v>0</v>
      </c>
      <c r="R68" s="47"/>
      <c r="S68" s="18"/>
      <c r="T68" s="18"/>
      <c r="U68" s="18"/>
      <c r="V68" s="18"/>
      <c r="W68" s="18"/>
      <c r="X68" s="18"/>
      <c r="Y68" s="19"/>
    </row>
    <row r="69" ht="20" customHeight="1">
      <c r="A69" s="40"/>
      <c r="B69" t="s" s="68">
        <v>73</v>
      </c>
      <c r="C69" s="79"/>
      <c r="D69" s="133">
        <v>0</v>
      </c>
      <c r="E69" s="133">
        <v>0</v>
      </c>
      <c r="F69" s="133">
        <v>0</v>
      </c>
      <c r="G69" s="133">
        <v>0</v>
      </c>
      <c r="H69" s="133">
        <v>0</v>
      </c>
      <c r="I69" s="133">
        <v>0</v>
      </c>
      <c r="J69" s="133">
        <v>0</v>
      </c>
      <c r="K69" s="133">
        <v>0</v>
      </c>
      <c r="L69" s="133">
        <v>0</v>
      </c>
      <c r="M69" s="133">
        <v>0</v>
      </c>
      <c r="N69" s="133">
        <v>0</v>
      </c>
      <c r="O69" s="133">
        <v>0</v>
      </c>
      <c r="P69" s="46"/>
      <c r="Q69" s="133" cm="1">
        <f t="array" ref="Q69">SUM(D69:O69)</f>
        <v>0</v>
      </c>
      <c r="R69" s="47"/>
      <c r="S69" s="18"/>
      <c r="T69" s="18"/>
      <c r="U69" s="18"/>
      <c r="V69" s="18"/>
      <c r="W69" s="18"/>
      <c r="X69" s="18"/>
      <c r="Y69" s="19"/>
    </row>
    <row r="70" ht="20" customHeight="1">
      <c r="A70" s="40"/>
      <c r="B70" t="s" s="68">
        <v>74</v>
      </c>
      <c r="C70" s="79"/>
      <c r="D70" s="133">
        <v>0</v>
      </c>
      <c r="E70" s="133">
        <v>0</v>
      </c>
      <c r="F70" s="133">
        <v>0</v>
      </c>
      <c r="G70" s="133">
        <v>0</v>
      </c>
      <c r="H70" s="133">
        <v>0</v>
      </c>
      <c r="I70" s="133">
        <v>0</v>
      </c>
      <c r="J70" s="133">
        <v>0</v>
      </c>
      <c r="K70" s="133">
        <v>0</v>
      </c>
      <c r="L70" s="133">
        <v>0</v>
      </c>
      <c r="M70" s="133">
        <v>0</v>
      </c>
      <c r="N70" s="133">
        <v>0</v>
      </c>
      <c r="O70" s="133">
        <v>0</v>
      </c>
      <c r="P70" s="46"/>
      <c r="Q70" s="133" cm="1">
        <f t="array" ref="Q70">SUM(D70:O70)</f>
        <v>0</v>
      </c>
      <c r="R70" s="47"/>
      <c r="S70" s="18"/>
      <c r="T70" s="18"/>
      <c r="U70" s="18"/>
      <c r="V70" s="18"/>
      <c r="W70" s="18"/>
      <c r="X70" s="18"/>
      <c r="Y70" s="19"/>
    </row>
    <row r="71" ht="20" customHeight="1">
      <c r="A71" s="40"/>
      <c r="B71" t="s" s="68">
        <v>77</v>
      </c>
      <c r="C71" s="79"/>
      <c r="D71" s="133">
        <v>0</v>
      </c>
      <c r="E71" s="133">
        <v>0</v>
      </c>
      <c r="F71" s="133">
        <v>0</v>
      </c>
      <c r="G71" s="133">
        <v>0</v>
      </c>
      <c r="H71" s="133">
        <v>0</v>
      </c>
      <c r="I71" s="133">
        <v>0</v>
      </c>
      <c r="J71" s="133">
        <v>0</v>
      </c>
      <c r="K71" s="133">
        <v>0</v>
      </c>
      <c r="L71" s="133">
        <v>0</v>
      </c>
      <c r="M71" s="133">
        <v>0</v>
      </c>
      <c r="N71" s="133">
        <v>0</v>
      </c>
      <c r="O71" s="133">
        <v>0</v>
      </c>
      <c r="P71" s="46"/>
      <c r="Q71" s="133" cm="1">
        <f t="array" ref="Q71">SUM(D71:O71)</f>
        <v>0</v>
      </c>
      <c r="R71" s="47"/>
      <c r="S71" s="18"/>
      <c r="T71" s="18"/>
      <c r="U71" s="18"/>
      <c r="V71" s="18"/>
      <c r="W71" s="18"/>
      <c r="X71" s="18"/>
      <c r="Y71" s="19"/>
    </row>
    <row r="72" ht="20" customHeight="1">
      <c r="A72" s="40"/>
      <c r="B72" t="s" s="68">
        <v>78</v>
      </c>
      <c r="C72" s="79"/>
      <c r="D72" s="133">
        <v>0</v>
      </c>
      <c r="E72" s="133">
        <v>0</v>
      </c>
      <c r="F72" s="133">
        <v>0</v>
      </c>
      <c r="G72" s="133">
        <v>0</v>
      </c>
      <c r="H72" s="133">
        <v>0</v>
      </c>
      <c r="I72" s="133">
        <v>0</v>
      </c>
      <c r="J72" s="133">
        <v>0</v>
      </c>
      <c r="K72" s="133">
        <v>0</v>
      </c>
      <c r="L72" s="133">
        <v>0</v>
      </c>
      <c r="M72" s="133">
        <v>0</v>
      </c>
      <c r="N72" s="133">
        <v>0</v>
      </c>
      <c r="O72" s="133">
        <v>0</v>
      </c>
      <c r="P72" s="46"/>
      <c r="Q72" s="133" cm="1">
        <f t="array" ref="Q72">SUM(D72:O72)</f>
        <v>0</v>
      </c>
      <c r="R72" s="47"/>
      <c r="S72" s="18"/>
      <c r="T72" s="18"/>
      <c r="U72" s="18"/>
      <c r="V72" s="18"/>
      <c r="W72" s="18"/>
      <c r="X72" s="18"/>
      <c r="Y72" s="19"/>
    </row>
    <row r="73" ht="20" customHeight="1">
      <c r="A73" s="40"/>
      <c r="B73" t="s" s="68">
        <v>79</v>
      </c>
      <c r="C73" s="79"/>
      <c r="D73" s="133">
        <v>0</v>
      </c>
      <c r="E73" s="133">
        <v>0</v>
      </c>
      <c r="F73" s="133">
        <v>0</v>
      </c>
      <c r="G73" s="133">
        <v>0</v>
      </c>
      <c r="H73" s="133">
        <v>0</v>
      </c>
      <c r="I73" s="133">
        <v>0</v>
      </c>
      <c r="J73" s="133">
        <v>0</v>
      </c>
      <c r="K73" s="133">
        <v>0</v>
      </c>
      <c r="L73" s="133">
        <v>0</v>
      </c>
      <c r="M73" s="133">
        <v>0</v>
      </c>
      <c r="N73" s="133">
        <v>0</v>
      </c>
      <c r="O73" s="133">
        <v>0</v>
      </c>
      <c r="P73" s="46"/>
      <c r="Q73" s="133" cm="1">
        <f t="array" ref="Q73">SUM(D73:O73)</f>
        <v>0</v>
      </c>
      <c r="R73" s="47"/>
      <c r="S73" s="18"/>
      <c r="T73" s="18"/>
      <c r="U73" s="18"/>
      <c r="V73" s="18"/>
      <c r="W73" s="18"/>
      <c r="X73" s="18"/>
      <c r="Y73" s="19"/>
    </row>
    <row r="74" ht="20" customHeight="1">
      <c r="A74" s="40"/>
      <c r="B74" t="s" s="68">
        <v>80</v>
      </c>
      <c r="C74" s="79"/>
      <c r="D74" s="133">
        <v>0</v>
      </c>
      <c r="E74" s="133">
        <v>0</v>
      </c>
      <c r="F74" s="133">
        <v>0</v>
      </c>
      <c r="G74" s="133">
        <v>0</v>
      </c>
      <c r="H74" s="133">
        <v>0</v>
      </c>
      <c r="I74" s="133">
        <v>0</v>
      </c>
      <c r="J74" s="133">
        <v>0</v>
      </c>
      <c r="K74" s="133">
        <v>0</v>
      </c>
      <c r="L74" s="133">
        <v>0</v>
      </c>
      <c r="M74" s="133">
        <v>0</v>
      </c>
      <c r="N74" s="133">
        <v>0</v>
      </c>
      <c r="O74" s="133">
        <v>0</v>
      </c>
      <c r="P74" s="46"/>
      <c r="Q74" s="133" cm="1">
        <f t="array" ref="Q74">SUM(D74:O74)</f>
        <v>0</v>
      </c>
      <c r="R74" s="47"/>
      <c r="S74" s="18"/>
      <c r="T74" s="18"/>
      <c r="U74" s="18"/>
      <c r="V74" s="18"/>
      <c r="W74" s="18"/>
      <c r="X74" s="18"/>
      <c r="Y74" s="19"/>
    </row>
    <row r="75" ht="20" customHeight="1">
      <c r="A75" s="40"/>
      <c r="B75" t="s" s="68">
        <v>81</v>
      </c>
      <c r="C75" s="79"/>
      <c r="D75" s="133">
        <v>0</v>
      </c>
      <c r="E75" s="133">
        <v>0</v>
      </c>
      <c r="F75" s="133">
        <v>0</v>
      </c>
      <c r="G75" s="133">
        <v>0</v>
      </c>
      <c r="H75" s="133">
        <v>0</v>
      </c>
      <c r="I75" s="133">
        <v>0</v>
      </c>
      <c r="J75" s="133">
        <v>0</v>
      </c>
      <c r="K75" s="133">
        <v>0</v>
      </c>
      <c r="L75" s="133">
        <v>0</v>
      </c>
      <c r="M75" s="133">
        <v>0</v>
      </c>
      <c r="N75" s="133">
        <v>0</v>
      </c>
      <c r="O75" s="133">
        <v>0</v>
      </c>
      <c r="P75" s="46"/>
      <c r="Q75" s="133" cm="1">
        <f t="array" ref="Q75">SUM(D75:O75)</f>
        <v>0</v>
      </c>
      <c r="R75" s="47"/>
      <c r="S75" s="18"/>
      <c r="T75" s="18"/>
      <c r="U75" s="18"/>
      <c r="V75" s="18"/>
      <c r="W75" s="18"/>
      <c r="X75" s="18"/>
      <c r="Y75" s="19"/>
    </row>
    <row r="76" ht="20" customHeight="1">
      <c r="A76" s="40"/>
      <c r="B76" t="s" s="68">
        <v>82</v>
      </c>
      <c r="C76" s="79"/>
      <c r="D76" s="133">
        <v>0</v>
      </c>
      <c r="E76" s="133">
        <v>0</v>
      </c>
      <c r="F76" s="133">
        <v>0</v>
      </c>
      <c r="G76" s="133">
        <v>0</v>
      </c>
      <c r="H76" s="133">
        <v>0</v>
      </c>
      <c r="I76" s="133">
        <v>0</v>
      </c>
      <c r="J76" s="133">
        <v>0</v>
      </c>
      <c r="K76" s="133">
        <v>0</v>
      </c>
      <c r="L76" s="133">
        <v>0</v>
      </c>
      <c r="M76" s="133">
        <v>0</v>
      </c>
      <c r="N76" s="133">
        <v>0</v>
      </c>
      <c r="O76" s="133">
        <v>0</v>
      </c>
      <c r="P76" s="46"/>
      <c r="Q76" s="133" cm="1">
        <f t="array" ref="Q76">SUM(D76:O76)</f>
        <v>0</v>
      </c>
      <c r="R76" s="47"/>
      <c r="S76" s="18"/>
      <c r="T76" s="18"/>
      <c r="U76" s="18"/>
      <c r="V76" s="18"/>
      <c r="W76" s="18"/>
      <c r="X76" s="18"/>
      <c r="Y76" s="19"/>
    </row>
    <row r="77" ht="20" customHeight="1">
      <c r="A77" s="40"/>
      <c r="B77" t="s" s="68">
        <v>83</v>
      </c>
      <c r="C77" s="79"/>
      <c r="D77" s="133">
        <v>0</v>
      </c>
      <c r="E77" s="133">
        <v>0</v>
      </c>
      <c r="F77" s="133">
        <v>0</v>
      </c>
      <c r="G77" s="133">
        <v>0</v>
      </c>
      <c r="H77" s="133">
        <v>0</v>
      </c>
      <c r="I77" s="133">
        <v>0</v>
      </c>
      <c r="J77" s="133">
        <v>0</v>
      </c>
      <c r="K77" s="133">
        <v>0</v>
      </c>
      <c r="L77" s="133">
        <v>0</v>
      </c>
      <c r="M77" s="133">
        <v>0</v>
      </c>
      <c r="N77" s="133">
        <v>0</v>
      </c>
      <c r="O77" s="133">
        <v>0</v>
      </c>
      <c r="P77" s="46"/>
      <c r="Q77" s="133" cm="1">
        <f t="array" ref="Q77">SUM(D77:O77)</f>
        <v>0</v>
      </c>
      <c r="R77" s="47"/>
      <c r="S77" s="18"/>
      <c r="T77" s="18"/>
      <c r="U77" s="18"/>
      <c r="V77" s="18"/>
      <c r="W77" s="18"/>
      <c r="X77" s="18"/>
      <c r="Y77" s="19"/>
    </row>
    <row r="78" ht="20" customHeight="1">
      <c r="A78" s="40"/>
      <c r="B78" t="s" s="68">
        <v>84</v>
      </c>
      <c r="C78" s="79"/>
      <c r="D78" s="133">
        <v>0</v>
      </c>
      <c r="E78" s="133">
        <v>0</v>
      </c>
      <c r="F78" s="133">
        <v>0</v>
      </c>
      <c r="G78" s="133">
        <v>0</v>
      </c>
      <c r="H78" s="133">
        <v>0</v>
      </c>
      <c r="I78" s="133">
        <v>0</v>
      </c>
      <c r="J78" s="133">
        <v>0</v>
      </c>
      <c r="K78" s="133">
        <v>0</v>
      </c>
      <c r="L78" s="133">
        <v>0</v>
      </c>
      <c r="M78" s="133">
        <v>0</v>
      </c>
      <c r="N78" s="133">
        <v>0</v>
      </c>
      <c r="O78" s="133">
        <v>0</v>
      </c>
      <c r="P78" s="46"/>
      <c r="Q78" s="133" cm="1">
        <f t="array" ref="Q78">SUM(D78:O78)</f>
        <v>0</v>
      </c>
      <c r="R78" s="47"/>
      <c r="S78" s="18"/>
      <c r="T78" s="18"/>
      <c r="U78" s="18"/>
      <c r="V78" s="18"/>
      <c r="W78" s="18"/>
      <c r="X78" s="18"/>
      <c r="Y78" s="19"/>
    </row>
    <row r="79" ht="20" customHeight="1">
      <c r="A79" s="40"/>
      <c r="B79" t="s" s="68">
        <v>85</v>
      </c>
      <c r="C79" s="79"/>
      <c r="D79" s="133">
        <v>0</v>
      </c>
      <c r="E79" s="133">
        <v>0</v>
      </c>
      <c r="F79" s="133">
        <v>0</v>
      </c>
      <c r="G79" s="133">
        <v>0</v>
      </c>
      <c r="H79" s="133">
        <v>0</v>
      </c>
      <c r="I79" s="133">
        <v>0</v>
      </c>
      <c r="J79" s="133">
        <v>0</v>
      </c>
      <c r="K79" s="133">
        <v>0</v>
      </c>
      <c r="L79" s="133">
        <v>0</v>
      </c>
      <c r="M79" s="133">
        <v>0</v>
      </c>
      <c r="N79" s="133">
        <v>0</v>
      </c>
      <c r="O79" s="133">
        <v>0</v>
      </c>
      <c r="P79" s="46"/>
      <c r="Q79" s="133" cm="1">
        <f t="array" ref="Q79">SUM(D79:O79)</f>
        <v>0</v>
      </c>
      <c r="R79" s="47"/>
      <c r="S79" s="18"/>
      <c r="T79" s="18"/>
      <c r="U79" s="18"/>
      <c r="V79" s="18"/>
      <c r="W79" s="18"/>
      <c r="X79" s="18"/>
      <c r="Y79" s="19"/>
    </row>
    <row r="80" ht="20" customHeight="1">
      <c r="A80" s="40"/>
      <c r="B80" t="s" s="68">
        <v>86</v>
      </c>
      <c r="C80" s="79"/>
      <c r="D80" s="133">
        <v>0</v>
      </c>
      <c r="E80" s="133">
        <v>0</v>
      </c>
      <c r="F80" s="133">
        <v>0</v>
      </c>
      <c r="G80" s="133">
        <v>0</v>
      </c>
      <c r="H80" s="133">
        <v>0</v>
      </c>
      <c r="I80" s="133">
        <v>0</v>
      </c>
      <c r="J80" s="133">
        <v>0</v>
      </c>
      <c r="K80" s="133">
        <v>0</v>
      </c>
      <c r="L80" s="133">
        <v>0</v>
      </c>
      <c r="M80" s="133">
        <v>0</v>
      </c>
      <c r="N80" s="133">
        <v>0</v>
      </c>
      <c r="O80" s="133">
        <v>0</v>
      </c>
      <c r="P80" s="46"/>
      <c r="Q80" s="133" cm="1">
        <f t="array" ref="Q80">SUM(D80:O80)</f>
        <v>0</v>
      </c>
      <c r="R80" s="47"/>
      <c r="S80" s="18"/>
      <c r="T80" s="18"/>
      <c r="U80" s="18"/>
      <c r="V80" s="18"/>
      <c r="W80" s="18"/>
      <c r="X80" s="18"/>
      <c r="Y80" s="19"/>
    </row>
    <row r="81" ht="20" customHeight="1">
      <c r="A81" s="40"/>
      <c r="B81" t="s" s="68">
        <v>50</v>
      </c>
      <c r="C81" s="79"/>
      <c r="D81" s="133">
        <v>0</v>
      </c>
      <c r="E81" s="133">
        <v>0</v>
      </c>
      <c r="F81" s="133">
        <v>0</v>
      </c>
      <c r="G81" s="133">
        <v>0</v>
      </c>
      <c r="H81" s="133">
        <v>0</v>
      </c>
      <c r="I81" s="133">
        <v>0</v>
      </c>
      <c r="J81" s="133">
        <v>0</v>
      </c>
      <c r="K81" s="133">
        <v>0</v>
      </c>
      <c r="L81" s="133">
        <v>0</v>
      </c>
      <c r="M81" s="133">
        <v>0</v>
      </c>
      <c r="N81" s="133">
        <v>0</v>
      </c>
      <c r="O81" s="133">
        <v>0</v>
      </c>
      <c r="P81" s="46"/>
      <c r="Q81" s="133" cm="1">
        <f t="array" ref="Q81">SUM(D81:O81)</f>
        <v>0</v>
      </c>
      <c r="R81" s="47"/>
      <c r="S81" s="18"/>
      <c r="T81" s="18"/>
      <c r="U81" s="18"/>
      <c r="V81" s="18"/>
      <c r="W81" s="18"/>
      <c r="X81" s="18"/>
      <c r="Y81" s="19"/>
    </row>
    <row r="82" ht="20" customHeight="1">
      <c r="A82" s="40"/>
      <c r="B82" t="s" s="72">
        <v>87</v>
      </c>
      <c r="C82" s="42"/>
      <c r="D82" s="85" cm="1">
        <f t="array" ref="D82">SUM(D64:D81)</f>
        <v>0</v>
      </c>
      <c r="E82" s="85" cm="1">
        <f t="array" ref="E82">SUM(E64:E81)</f>
        <v>0</v>
      </c>
      <c r="F82" s="85" cm="1">
        <f t="array" ref="F82">SUM(F64:F81)</f>
        <v>0</v>
      </c>
      <c r="G82" s="85" cm="1">
        <f t="array" ref="G82">SUM(G64:G81)</f>
        <v>0</v>
      </c>
      <c r="H82" s="85" cm="1">
        <f t="array" ref="H82">SUM(H64:H81)</f>
        <v>0</v>
      </c>
      <c r="I82" s="85" cm="1">
        <f t="array" ref="I82">SUM(I64:I81)</f>
        <v>0</v>
      </c>
      <c r="J82" s="85" cm="1">
        <f t="array" ref="J82">SUM(J64:J81)</f>
        <v>0</v>
      </c>
      <c r="K82" s="85" cm="1">
        <f t="array" ref="K82">SUM(K64:K81)</f>
        <v>0</v>
      </c>
      <c r="L82" s="85" cm="1">
        <f t="array" ref="L82">SUM(L64:L81)</f>
        <v>0</v>
      </c>
      <c r="M82" s="85" cm="1">
        <f t="array" ref="M82">SUM(M64:M81)</f>
        <v>0</v>
      </c>
      <c r="N82" s="85" cm="1">
        <f t="array" ref="N82">SUM(N64:N81)</f>
        <v>0</v>
      </c>
      <c r="O82" s="85" cm="1">
        <f t="array" ref="O82">SUM(O64:O81)</f>
        <v>0</v>
      </c>
      <c r="P82" s="46"/>
      <c r="Q82" s="85" cm="1">
        <f t="array" ref="Q82">SUM(Q64:Q81)</f>
        <v>0</v>
      </c>
      <c r="R82" s="47"/>
      <c r="S82" s="18"/>
      <c r="T82" s="18"/>
      <c r="U82" s="18"/>
      <c r="V82" s="18"/>
      <c r="W82" s="18"/>
      <c r="X82" s="18"/>
      <c r="Y82" s="19"/>
    </row>
    <row r="83" ht="20" customHeight="1">
      <c r="A83" s="27"/>
      <c r="B83" s="97"/>
      <c r="C83" s="74"/>
      <c r="D83" s="97"/>
      <c r="E83" s="97"/>
      <c r="F83" s="97"/>
      <c r="G83" s="97"/>
      <c r="H83" s="97"/>
      <c r="I83" s="97"/>
      <c r="J83" s="97"/>
      <c r="K83" s="97"/>
      <c r="L83" s="97"/>
      <c r="M83" s="97"/>
      <c r="N83" s="97"/>
      <c r="O83" s="97"/>
      <c r="P83" s="18"/>
      <c r="Q83" s="97"/>
      <c r="R83" s="18"/>
      <c r="S83" s="18"/>
      <c r="T83" s="18"/>
      <c r="U83" s="18"/>
      <c r="V83" s="18"/>
      <c r="W83" s="18"/>
      <c r="X83" s="18"/>
      <c r="Y83" s="19"/>
    </row>
    <row r="84" ht="20" customHeight="1">
      <c r="A84" s="40"/>
      <c r="B84" t="s" s="92">
        <v>88</v>
      </c>
      <c r="C84" t="s" s="67">
        <v>11</v>
      </c>
      <c r="D84" t="s" s="67">
        <v>12</v>
      </c>
      <c r="E84" t="s" s="67">
        <v>13</v>
      </c>
      <c r="F84" t="s" s="67">
        <v>14</v>
      </c>
      <c r="G84" t="s" s="67">
        <v>15</v>
      </c>
      <c r="H84" t="s" s="67">
        <v>16</v>
      </c>
      <c r="I84" t="s" s="67">
        <v>17</v>
      </c>
      <c r="J84" t="s" s="67">
        <v>18</v>
      </c>
      <c r="K84" t="s" s="67">
        <v>19</v>
      </c>
      <c r="L84" t="s" s="67">
        <v>20</v>
      </c>
      <c r="M84" t="s" s="67">
        <v>21</v>
      </c>
      <c r="N84" t="s" s="67">
        <v>22</v>
      </c>
      <c r="O84" t="s" s="67">
        <v>23</v>
      </c>
      <c r="P84" s="46"/>
      <c r="Q84" t="s" s="67">
        <v>24</v>
      </c>
      <c r="R84" s="47"/>
      <c r="S84" s="18"/>
      <c r="T84" s="18"/>
      <c r="U84" s="18"/>
      <c r="V84" s="18"/>
      <c r="W84" s="18"/>
      <c r="X84" s="18"/>
      <c r="Y84" s="19"/>
    </row>
    <row r="85" ht="20" customHeight="1">
      <c r="A85" s="40"/>
      <c r="B85" t="s" s="68">
        <v>89</v>
      </c>
      <c r="C85" s="79"/>
      <c r="D85" s="133">
        <v>0</v>
      </c>
      <c r="E85" s="133">
        <v>0</v>
      </c>
      <c r="F85" s="133">
        <v>0</v>
      </c>
      <c r="G85" s="133">
        <v>0</v>
      </c>
      <c r="H85" s="133">
        <v>0</v>
      </c>
      <c r="I85" s="133">
        <v>0</v>
      </c>
      <c r="J85" s="133">
        <v>0</v>
      </c>
      <c r="K85" s="133">
        <v>0</v>
      </c>
      <c r="L85" s="133">
        <v>0</v>
      </c>
      <c r="M85" s="133">
        <v>0</v>
      </c>
      <c r="N85" s="133">
        <v>0</v>
      </c>
      <c r="O85" s="133">
        <v>0</v>
      </c>
      <c r="P85" s="46"/>
      <c r="Q85" s="133" cm="1">
        <f t="array" ref="Q85">SUM(D85:O85)</f>
        <v>0</v>
      </c>
      <c r="R85" s="47"/>
      <c r="S85" s="18"/>
      <c r="T85" s="18"/>
      <c r="U85" s="18"/>
      <c r="V85" s="18"/>
      <c r="W85" s="18"/>
      <c r="X85" s="18"/>
      <c r="Y85" s="19"/>
    </row>
    <row r="86" ht="20" customHeight="1">
      <c r="A86" s="40"/>
      <c r="B86" t="s" s="68">
        <v>90</v>
      </c>
      <c r="C86" s="79"/>
      <c r="D86" s="133">
        <v>0</v>
      </c>
      <c r="E86" s="133">
        <v>0</v>
      </c>
      <c r="F86" s="133">
        <v>0</v>
      </c>
      <c r="G86" s="133">
        <v>0</v>
      </c>
      <c r="H86" s="133">
        <v>0</v>
      </c>
      <c r="I86" s="133">
        <v>0</v>
      </c>
      <c r="J86" s="133">
        <v>0</v>
      </c>
      <c r="K86" s="133">
        <v>0</v>
      </c>
      <c r="L86" s="133">
        <v>0</v>
      </c>
      <c r="M86" s="133">
        <v>0</v>
      </c>
      <c r="N86" s="133">
        <v>0</v>
      </c>
      <c r="O86" s="133">
        <v>0</v>
      </c>
      <c r="P86" s="46"/>
      <c r="Q86" s="133" cm="1">
        <f t="array" ref="Q86">SUM(D86:O86)</f>
        <v>0</v>
      </c>
      <c r="R86" s="47"/>
      <c r="S86" s="18"/>
      <c r="T86" s="18"/>
      <c r="U86" s="18"/>
      <c r="V86" s="18"/>
      <c r="W86" s="18"/>
      <c r="X86" s="18"/>
      <c r="Y86" s="19"/>
    </row>
    <row r="87" ht="20" customHeight="1">
      <c r="A87" s="40"/>
      <c r="B87" t="s" s="68">
        <v>91</v>
      </c>
      <c r="C87" s="79"/>
      <c r="D87" s="133">
        <v>0</v>
      </c>
      <c r="E87" s="133">
        <v>0</v>
      </c>
      <c r="F87" s="133">
        <v>0</v>
      </c>
      <c r="G87" s="133">
        <v>0</v>
      </c>
      <c r="H87" s="133">
        <v>0</v>
      </c>
      <c r="I87" s="133">
        <v>0</v>
      </c>
      <c r="J87" s="133">
        <v>0</v>
      </c>
      <c r="K87" s="133">
        <v>0</v>
      </c>
      <c r="L87" s="133">
        <v>0</v>
      </c>
      <c r="M87" s="133">
        <v>0</v>
      </c>
      <c r="N87" s="133">
        <v>0</v>
      </c>
      <c r="O87" s="133">
        <v>0</v>
      </c>
      <c r="P87" s="46"/>
      <c r="Q87" s="133" cm="1">
        <f t="array" ref="Q87">SUM(D87:O87)</f>
        <v>0</v>
      </c>
      <c r="R87" s="47"/>
      <c r="S87" s="18"/>
      <c r="T87" s="18"/>
      <c r="U87" s="18"/>
      <c r="V87" s="18"/>
      <c r="W87" s="18"/>
      <c r="X87" s="18"/>
      <c r="Y87" s="19"/>
    </row>
    <row r="88" ht="20" customHeight="1">
      <c r="A88" s="40"/>
      <c r="B88" t="s" s="68">
        <v>64</v>
      </c>
      <c r="C88" s="79"/>
      <c r="D88" s="133">
        <v>0</v>
      </c>
      <c r="E88" s="133">
        <v>0</v>
      </c>
      <c r="F88" s="133">
        <v>0</v>
      </c>
      <c r="G88" s="133">
        <v>0</v>
      </c>
      <c r="H88" s="133">
        <v>0</v>
      </c>
      <c r="I88" s="133">
        <v>0</v>
      </c>
      <c r="J88" s="133">
        <v>0</v>
      </c>
      <c r="K88" s="133">
        <v>0</v>
      </c>
      <c r="L88" s="133">
        <v>0</v>
      </c>
      <c r="M88" s="133">
        <v>0</v>
      </c>
      <c r="N88" s="133">
        <v>0</v>
      </c>
      <c r="O88" s="133">
        <v>0</v>
      </c>
      <c r="P88" s="46"/>
      <c r="Q88" s="133" cm="1">
        <f t="array" ref="Q88">SUM(D88:O88)</f>
        <v>0</v>
      </c>
      <c r="R88" s="47"/>
      <c r="S88" s="18"/>
      <c r="T88" s="18"/>
      <c r="U88" s="18"/>
      <c r="V88" s="18"/>
      <c r="W88" s="18"/>
      <c r="X88" s="18"/>
      <c r="Y88" s="19"/>
    </row>
    <row r="89" ht="20" customHeight="1">
      <c r="A89" s="40"/>
      <c r="B89" t="s" s="68">
        <v>50</v>
      </c>
      <c r="C89" s="79"/>
      <c r="D89" s="133">
        <v>0</v>
      </c>
      <c r="E89" s="133">
        <v>0</v>
      </c>
      <c r="F89" s="133">
        <v>0</v>
      </c>
      <c r="G89" s="133">
        <v>0</v>
      </c>
      <c r="H89" s="133">
        <v>0</v>
      </c>
      <c r="I89" s="133">
        <v>0</v>
      </c>
      <c r="J89" s="133">
        <v>0</v>
      </c>
      <c r="K89" s="133">
        <v>0</v>
      </c>
      <c r="L89" s="133">
        <v>0</v>
      </c>
      <c r="M89" s="133">
        <v>0</v>
      </c>
      <c r="N89" s="133">
        <v>0</v>
      </c>
      <c r="O89" s="133">
        <v>0</v>
      </c>
      <c r="P89" s="46"/>
      <c r="Q89" s="133" cm="1">
        <f t="array" ref="Q89">SUM(D89:O89)</f>
        <v>0</v>
      </c>
      <c r="R89" s="47"/>
      <c r="S89" s="18"/>
      <c r="T89" s="18"/>
      <c r="U89" s="18"/>
      <c r="V89" s="18"/>
      <c r="W89" s="18"/>
      <c r="X89" s="18"/>
      <c r="Y89" s="19"/>
    </row>
    <row r="90" ht="20" customHeight="1">
      <c r="A90" s="40"/>
      <c r="B90" t="s" s="72">
        <v>92</v>
      </c>
      <c r="C90" s="42"/>
      <c r="D90" s="85" cm="1">
        <f t="array" ref="D90">SUM(D85:D89)</f>
        <v>0</v>
      </c>
      <c r="E90" s="85" cm="1">
        <f t="array" ref="E90">SUM(E85:E89)</f>
        <v>0</v>
      </c>
      <c r="F90" s="85" cm="1">
        <f t="array" ref="F90">SUM(F85:F89)</f>
        <v>0</v>
      </c>
      <c r="G90" s="85" cm="1">
        <f t="array" ref="G90">SUM(G85:G89)</f>
        <v>0</v>
      </c>
      <c r="H90" s="85" cm="1">
        <f t="array" ref="H90">SUM(H85:H89)</f>
        <v>0</v>
      </c>
      <c r="I90" s="85" cm="1">
        <f t="array" ref="I90">SUM(I85:I89)</f>
        <v>0</v>
      </c>
      <c r="J90" s="85" cm="1">
        <f t="array" ref="J90">SUM(J85:J89)</f>
        <v>0</v>
      </c>
      <c r="K90" s="85" cm="1">
        <f t="array" ref="K90">SUM(K85:K89)</f>
        <v>0</v>
      </c>
      <c r="L90" s="85" cm="1">
        <f t="array" ref="L90">SUM(L85:L89)</f>
        <v>0</v>
      </c>
      <c r="M90" s="85" cm="1">
        <f t="array" ref="M90">SUM(M85:M89)</f>
        <v>0</v>
      </c>
      <c r="N90" s="85" cm="1">
        <f t="array" ref="N90">SUM(N85:N89)</f>
        <v>0</v>
      </c>
      <c r="O90" s="85" cm="1">
        <f t="array" ref="O90">SUM(O85:O89)</f>
        <v>0</v>
      </c>
      <c r="P90" s="46"/>
      <c r="Q90" s="85" cm="1">
        <f t="array" ref="Q90">SUM(Q85:Q89)</f>
        <v>0</v>
      </c>
      <c r="R90" s="47"/>
      <c r="S90" s="18"/>
      <c r="T90" s="18"/>
      <c r="U90" s="18"/>
      <c r="V90" s="18"/>
      <c r="W90" s="18"/>
      <c r="X90" s="18"/>
      <c r="Y90" s="19"/>
    </row>
    <row r="91" ht="20" customHeight="1">
      <c r="A91" s="27"/>
      <c r="B91" s="97"/>
      <c r="C91" s="74"/>
      <c r="D91" s="97"/>
      <c r="E91" s="97"/>
      <c r="F91" s="97"/>
      <c r="G91" s="97"/>
      <c r="H91" s="97"/>
      <c r="I91" s="97"/>
      <c r="J91" s="97"/>
      <c r="K91" s="97"/>
      <c r="L91" s="97"/>
      <c r="M91" s="97"/>
      <c r="N91" s="97"/>
      <c r="O91" s="97"/>
      <c r="P91" s="18"/>
      <c r="Q91" s="97"/>
      <c r="R91" s="18"/>
      <c r="S91" s="18"/>
      <c r="T91" s="18"/>
      <c r="U91" s="18"/>
      <c r="V91" s="18"/>
      <c r="W91" s="18"/>
      <c r="X91" s="18"/>
      <c r="Y91" s="19"/>
    </row>
    <row r="92" ht="20" customHeight="1">
      <c r="A92" s="40"/>
      <c r="B92" t="s" s="92">
        <v>196</v>
      </c>
      <c r="C92" t="s" s="67">
        <v>11</v>
      </c>
      <c r="D92" t="s" s="67">
        <v>12</v>
      </c>
      <c r="E92" t="s" s="67">
        <v>13</v>
      </c>
      <c r="F92" t="s" s="67">
        <v>14</v>
      </c>
      <c r="G92" t="s" s="67">
        <v>15</v>
      </c>
      <c r="H92" t="s" s="67">
        <v>16</v>
      </c>
      <c r="I92" t="s" s="67">
        <v>17</v>
      </c>
      <c r="J92" t="s" s="67">
        <v>18</v>
      </c>
      <c r="K92" t="s" s="67">
        <v>19</v>
      </c>
      <c r="L92" t="s" s="67">
        <v>20</v>
      </c>
      <c r="M92" t="s" s="67">
        <v>21</v>
      </c>
      <c r="N92" t="s" s="67">
        <v>22</v>
      </c>
      <c r="O92" t="s" s="67">
        <v>23</v>
      </c>
      <c r="P92" s="46"/>
      <c r="Q92" t="s" s="67">
        <v>24</v>
      </c>
      <c r="R92" s="47"/>
      <c r="S92" s="18"/>
      <c r="T92" s="18"/>
      <c r="U92" s="18"/>
      <c r="V92" s="18"/>
      <c r="W92" s="18"/>
      <c r="X92" s="18"/>
      <c r="Y92" s="19"/>
    </row>
    <row r="93" ht="20" customHeight="1">
      <c r="A93" s="40"/>
      <c r="B93" t="s" s="68">
        <v>197</v>
      </c>
      <c r="C93" s="79"/>
      <c r="D93" s="133">
        <v>0</v>
      </c>
      <c r="E93" s="133">
        <v>0</v>
      </c>
      <c r="F93" s="133">
        <v>0</v>
      </c>
      <c r="G93" s="133">
        <v>0</v>
      </c>
      <c r="H93" s="133">
        <v>0</v>
      </c>
      <c r="I93" s="133">
        <v>0</v>
      </c>
      <c r="J93" s="133">
        <v>0</v>
      </c>
      <c r="K93" s="133">
        <v>0</v>
      </c>
      <c r="L93" s="133">
        <v>0</v>
      </c>
      <c r="M93" s="133">
        <v>0</v>
      </c>
      <c r="N93" s="133">
        <v>0</v>
      </c>
      <c r="O93" s="133">
        <v>0</v>
      </c>
      <c r="P93" s="46"/>
      <c r="Q93" s="133" cm="1">
        <f t="array" ref="Q93">SUM(D93:O93)</f>
        <v>0</v>
      </c>
      <c r="R93" s="47"/>
      <c r="S93" s="18"/>
      <c r="T93" s="18"/>
      <c r="U93" s="18"/>
      <c r="V93" s="18"/>
      <c r="W93" s="18"/>
      <c r="X93" s="18"/>
      <c r="Y93" s="19"/>
    </row>
    <row r="94" ht="20" customHeight="1">
      <c r="A94" s="40"/>
      <c r="B94" t="s" s="68">
        <v>96</v>
      </c>
      <c r="C94" s="79"/>
      <c r="D94" s="133">
        <v>0</v>
      </c>
      <c r="E94" s="133">
        <v>0</v>
      </c>
      <c r="F94" s="133">
        <v>0</v>
      </c>
      <c r="G94" s="133">
        <v>0</v>
      </c>
      <c r="H94" s="133">
        <v>0</v>
      </c>
      <c r="I94" s="133">
        <v>0</v>
      </c>
      <c r="J94" s="133">
        <v>0</v>
      </c>
      <c r="K94" s="133">
        <v>0</v>
      </c>
      <c r="L94" s="133">
        <v>0</v>
      </c>
      <c r="M94" s="133">
        <v>0</v>
      </c>
      <c r="N94" s="133">
        <v>0</v>
      </c>
      <c r="O94" s="133">
        <v>0</v>
      </c>
      <c r="P94" s="46"/>
      <c r="Q94" s="133" cm="1">
        <f t="array" ref="Q94">SUM(D94:O94)</f>
        <v>0</v>
      </c>
      <c r="R94" s="47"/>
      <c r="S94" s="18"/>
      <c r="T94" s="18"/>
      <c r="U94" s="18"/>
      <c r="V94" s="18"/>
      <c r="W94" s="18"/>
      <c r="X94" s="18"/>
      <c r="Y94" s="19"/>
    </row>
    <row r="95" ht="20" customHeight="1">
      <c r="A95" s="40"/>
      <c r="B95" t="s" s="68">
        <v>97</v>
      </c>
      <c r="C95" s="79"/>
      <c r="D95" s="133">
        <v>0</v>
      </c>
      <c r="E95" s="133">
        <v>0</v>
      </c>
      <c r="F95" s="133">
        <v>0</v>
      </c>
      <c r="G95" s="133">
        <v>0</v>
      </c>
      <c r="H95" s="133">
        <v>0</v>
      </c>
      <c r="I95" s="133">
        <v>0</v>
      </c>
      <c r="J95" s="133">
        <v>0</v>
      </c>
      <c r="K95" s="133">
        <v>0</v>
      </c>
      <c r="L95" s="133">
        <v>0</v>
      </c>
      <c r="M95" s="133">
        <v>0</v>
      </c>
      <c r="N95" s="133">
        <v>0</v>
      </c>
      <c r="O95" s="133">
        <v>0</v>
      </c>
      <c r="P95" s="46"/>
      <c r="Q95" s="133" cm="1">
        <f t="array" ref="Q95">SUM(D95:O95)</f>
        <v>0</v>
      </c>
      <c r="R95" s="47"/>
      <c r="S95" s="18"/>
      <c r="T95" s="18"/>
      <c r="U95" s="18"/>
      <c r="V95" s="18"/>
      <c r="W95" s="18"/>
      <c r="X95" s="18"/>
      <c r="Y95" s="19"/>
    </row>
    <row r="96" ht="20" customHeight="1">
      <c r="A96" s="40"/>
      <c r="B96" t="s" s="68">
        <v>50</v>
      </c>
      <c r="C96" s="79"/>
      <c r="D96" s="133">
        <v>0</v>
      </c>
      <c r="E96" s="133">
        <v>0</v>
      </c>
      <c r="F96" s="133">
        <v>0</v>
      </c>
      <c r="G96" s="133">
        <v>0</v>
      </c>
      <c r="H96" s="133">
        <v>0</v>
      </c>
      <c r="I96" s="133">
        <v>0</v>
      </c>
      <c r="J96" s="133">
        <v>0</v>
      </c>
      <c r="K96" s="133">
        <v>0</v>
      </c>
      <c r="L96" s="133">
        <v>0</v>
      </c>
      <c r="M96" s="133">
        <v>0</v>
      </c>
      <c r="N96" s="133">
        <v>0</v>
      </c>
      <c r="O96" s="133">
        <v>0</v>
      </c>
      <c r="P96" s="46"/>
      <c r="Q96" s="133" cm="1">
        <f t="array" ref="Q96">SUM(D96:O96)</f>
        <v>0</v>
      </c>
      <c r="R96" s="47"/>
      <c r="S96" s="18"/>
      <c r="T96" s="18"/>
      <c r="U96" s="18"/>
      <c r="V96" s="18"/>
      <c r="W96" s="18"/>
      <c r="X96" s="18"/>
      <c r="Y96" s="19"/>
    </row>
    <row r="97" ht="20" customHeight="1">
      <c r="A97" s="40"/>
      <c r="B97" t="s" s="72">
        <v>98</v>
      </c>
      <c r="C97" s="42"/>
      <c r="D97" s="85" cm="1">
        <f t="array" ref="D97">SUM(D93:D96)</f>
        <v>0</v>
      </c>
      <c r="E97" s="85" cm="1">
        <f t="array" ref="E97">SUM(E93:E96)</f>
        <v>0</v>
      </c>
      <c r="F97" s="85" cm="1">
        <f t="array" ref="F97">SUM(F93:F96)</f>
        <v>0</v>
      </c>
      <c r="G97" s="85" cm="1">
        <f t="array" ref="G97">SUM(G93:G96)</f>
        <v>0</v>
      </c>
      <c r="H97" s="85" cm="1">
        <f t="array" ref="H97">SUM(H93:H96)</f>
        <v>0</v>
      </c>
      <c r="I97" s="85" cm="1">
        <f t="array" ref="I97">SUM(I93:I96)</f>
        <v>0</v>
      </c>
      <c r="J97" s="85" cm="1">
        <f t="array" ref="J97">SUM(J93:J96)</f>
        <v>0</v>
      </c>
      <c r="K97" s="85" cm="1">
        <f t="array" ref="K97">SUM(K93:K96)</f>
        <v>0</v>
      </c>
      <c r="L97" s="85" cm="1">
        <f t="array" ref="L97">SUM(L93:L96)</f>
        <v>0</v>
      </c>
      <c r="M97" s="85" cm="1">
        <f t="array" ref="M97">SUM(M93:M96)</f>
        <v>0</v>
      </c>
      <c r="N97" s="85" cm="1">
        <f t="array" ref="N97">SUM(N93:N96)</f>
        <v>0</v>
      </c>
      <c r="O97" s="85" cm="1">
        <f t="array" ref="O97">SUM(O93:O96)</f>
        <v>0</v>
      </c>
      <c r="P97" s="46"/>
      <c r="Q97" s="85" cm="1">
        <f t="array" ref="Q97">SUM(Q93:Q96)</f>
        <v>0</v>
      </c>
      <c r="R97" s="47"/>
      <c r="S97" s="18"/>
      <c r="T97" s="18"/>
      <c r="U97" s="18"/>
      <c r="V97" s="18"/>
      <c r="W97" s="18"/>
      <c r="X97" s="18"/>
      <c r="Y97" s="19"/>
    </row>
    <row r="98" ht="20" customHeight="1">
      <c r="A98" s="27"/>
      <c r="B98" s="97"/>
      <c r="C98" s="74"/>
      <c r="D98" s="97"/>
      <c r="E98" s="97"/>
      <c r="F98" s="97"/>
      <c r="G98" s="97"/>
      <c r="H98" s="97"/>
      <c r="I98" s="97"/>
      <c r="J98" s="97"/>
      <c r="K98" s="97"/>
      <c r="L98" s="97"/>
      <c r="M98" s="97"/>
      <c r="N98" s="97"/>
      <c r="O98" s="97"/>
      <c r="P98" s="18"/>
      <c r="Q98" s="97"/>
      <c r="R98" s="18"/>
      <c r="S98" s="18"/>
      <c r="T98" s="18"/>
      <c r="U98" s="18"/>
      <c r="V98" s="18"/>
      <c r="W98" s="18"/>
      <c r="X98" s="18"/>
      <c r="Y98" s="19"/>
    </row>
    <row r="99" ht="20" customHeight="1">
      <c r="A99" s="40"/>
      <c r="B99" t="s" s="41">
        <v>26</v>
      </c>
      <c r="C99" s="42"/>
      <c r="D99" s="85" cm="1">
        <f t="array" ref="D99">SUM(D44,D52,D61,D82,D90,D97)</f>
        <v>0</v>
      </c>
      <c r="E99" s="85" cm="1">
        <f t="array" ref="E99">SUM(E44,E52,E61,E82,E90,E97)</f>
        <v>0</v>
      </c>
      <c r="F99" s="85" cm="1">
        <f t="array" ref="F99">SUM(F44,F52,F61,F82,F90,F97)</f>
        <v>0</v>
      </c>
      <c r="G99" s="85" cm="1">
        <f t="array" ref="G99">SUM(G44,G52,G61,G82,G90,G97)</f>
        <v>0</v>
      </c>
      <c r="H99" s="85" cm="1">
        <f t="array" ref="H99">SUM(H44,H52,H61,H82,H90,H97)</f>
        <v>0</v>
      </c>
      <c r="I99" s="85" cm="1">
        <f t="array" ref="I99">SUM(I44,I52,I61,I82,I90,I97)</f>
        <v>0</v>
      </c>
      <c r="J99" s="85" cm="1">
        <f t="array" ref="J99">SUM(J44,J52,J61,J82,J90,J97)</f>
        <v>0</v>
      </c>
      <c r="K99" s="85" cm="1">
        <f t="array" ref="K99">SUM(K44,K52,K61,K82,K90,K97)</f>
        <v>0</v>
      </c>
      <c r="L99" s="85" cm="1">
        <f t="array" ref="L99">SUM(L44,L52,L61,L82,L90,L97)</f>
        <v>0</v>
      </c>
      <c r="M99" s="85" cm="1">
        <f t="array" ref="M99">SUM(M44,M52,M61,M82,M90,M97)</f>
        <v>0</v>
      </c>
      <c r="N99" s="85" cm="1">
        <f t="array" ref="N99">SUM(N44,N52,N61,N82,N90,N97)</f>
        <v>0</v>
      </c>
      <c r="O99" s="85" cm="1">
        <f t="array" ref="O99">SUM(O44,O52,O61,O82,O90,O97)</f>
        <v>0</v>
      </c>
      <c r="P99" s="46"/>
      <c r="Q99" s="85" cm="1">
        <f t="array" ref="Q99">SUM(Q44,Q52,Q61,Q82,Q90,Q97)</f>
        <v>0</v>
      </c>
      <c r="R99" s="47"/>
      <c r="S99" s="18"/>
      <c r="T99" s="18"/>
      <c r="U99" s="18"/>
      <c r="V99" s="18"/>
      <c r="W99" s="18"/>
      <c r="X99" s="18"/>
      <c r="Y99" s="19"/>
    </row>
    <row r="100" ht="20" customHeight="1">
      <c r="A100" s="27"/>
      <c r="B100" s="100"/>
      <c r="C100" s="101"/>
      <c r="D100" s="102"/>
      <c r="E100" s="102"/>
      <c r="F100" s="102"/>
      <c r="G100" s="102"/>
      <c r="H100" s="102"/>
      <c r="I100" s="102"/>
      <c r="J100" s="102"/>
      <c r="K100" s="102"/>
      <c r="L100" s="102"/>
      <c r="M100" s="102"/>
      <c r="N100" s="102"/>
      <c r="O100" s="102"/>
      <c r="P100" s="18"/>
      <c r="Q100" s="102"/>
      <c r="R100" s="18"/>
      <c r="S100" s="18"/>
      <c r="T100" s="18"/>
      <c r="U100" s="18"/>
      <c r="V100" s="18"/>
      <c r="W100" s="18"/>
      <c r="X100" s="18"/>
      <c r="Y100" s="19"/>
    </row>
    <row r="101" ht="15" customHeight="1">
      <c r="A101" s="27"/>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9"/>
    </row>
    <row r="102" ht="15" customHeight="1">
      <c r="A102" s="27"/>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9"/>
    </row>
    <row r="103" ht="15" customHeight="1">
      <c r="A103" s="27"/>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9"/>
    </row>
    <row r="104" ht="15" customHeight="1">
      <c r="A104" s="27"/>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9"/>
    </row>
    <row r="105" ht="15" customHeight="1">
      <c r="A105" s="27"/>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9"/>
    </row>
    <row r="106" ht="15" customHeight="1">
      <c r="A106" s="27"/>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9"/>
    </row>
    <row r="107" ht="15" customHeight="1">
      <c r="A107" s="27"/>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9"/>
    </row>
    <row r="108" ht="15" customHeight="1">
      <c r="A108" s="27"/>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9"/>
    </row>
    <row r="109" ht="15" customHeight="1">
      <c r="A109" s="27"/>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9"/>
    </row>
    <row r="110" ht="15" customHeight="1">
      <c r="A110" s="27"/>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9"/>
    </row>
    <row r="111" ht="15" customHeight="1">
      <c r="A111" s="27"/>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9"/>
    </row>
    <row r="112" ht="15" customHeight="1">
      <c r="A112" s="27"/>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9"/>
    </row>
    <row r="113" ht="15" customHeight="1">
      <c r="A113" s="27"/>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9"/>
    </row>
    <row r="114" ht="15" customHeight="1">
      <c r="A114" s="27"/>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9"/>
    </row>
    <row r="115" ht="15" customHeight="1">
      <c r="A115" s="27"/>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9"/>
    </row>
    <row r="116" ht="15" customHeight="1">
      <c r="A116" s="27"/>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9"/>
    </row>
    <row r="117" ht="15" customHeight="1">
      <c r="A117" s="27"/>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9"/>
    </row>
    <row r="118" ht="15" customHeight="1">
      <c r="A118" s="27"/>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9"/>
    </row>
    <row r="119" ht="15" customHeight="1">
      <c r="A119" s="27"/>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9"/>
    </row>
    <row r="120" ht="15" customHeight="1">
      <c r="A120" s="27"/>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9"/>
    </row>
    <row r="121" ht="15" customHeight="1">
      <c r="A121" s="27"/>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9"/>
    </row>
    <row r="122" ht="15" customHeight="1">
      <c r="A122" s="27"/>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9"/>
    </row>
    <row r="123" ht="15" customHeight="1">
      <c r="A123" s="27"/>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9"/>
    </row>
    <row r="124" ht="15" customHeight="1">
      <c r="A124" s="27"/>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9"/>
    </row>
    <row r="125" ht="15" customHeight="1">
      <c r="A125" s="27"/>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9"/>
    </row>
    <row r="126" ht="15" customHeight="1">
      <c r="A126" s="27"/>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9"/>
    </row>
    <row r="127" ht="15" customHeight="1">
      <c r="A127" s="27"/>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9"/>
    </row>
    <row r="128" ht="15" customHeight="1">
      <c r="A128" s="27"/>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9"/>
    </row>
    <row r="129" ht="15" customHeight="1">
      <c r="A129" s="27"/>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9"/>
    </row>
    <row r="130" ht="15" customHeight="1">
      <c r="A130" s="27"/>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9"/>
    </row>
    <row r="131" ht="15" customHeight="1">
      <c r="A131" s="27"/>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9"/>
    </row>
    <row r="132" ht="15" customHeight="1">
      <c r="A132" s="27"/>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9"/>
    </row>
    <row r="133" ht="15" customHeight="1">
      <c r="A133" s="27"/>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9"/>
    </row>
    <row r="134" ht="15" customHeight="1">
      <c r="A134" s="27"/>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9"/>
    </row>
    <row r="135" ht="15" customHeight="1">
      <c r="A135" s="27"/>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9"/>
    </row>
    <row r="136" ht="15" customHeight="1">
      <c r="A136" s="27"/>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9"/>
    </row>
    <row r="137" ht="15" customHeight="1">
      <c r="A137" s="27"/>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9"/>
    </row>
    <row r="138" ht="15" customHeight="1">
      <c r="A138" s="27"/>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9"/>
    </row>
    <row r="139" ht="15" customHeight="1">
      <c r="A139" s="27"/>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9"/>
    </row>
    <row r="140" ht="15" customHeight="1">
      <c r="A140" s="27"/>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9"/>
    </row>
    <row r="141" ht="15" customHeight="1">
      <c r="A141" s="27"/>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9"/>
    </row>
    <row r="142" ht="15" customHeight="1">
      <c r="A142" s="27"/>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9"/>
    </row>
    <row r="143" ht="15" customHeight="1">
      <c r="A143" s="27"/>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9"/>
    </row>
    <row r="144" ht="15" customHeight="1">
      <c r="A144" s="27"/>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9"/>
    </row>
    <row r="145" ht="15" customHeight="1">
      <c r="A145" s="27"/>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9"/>
    </row>
    <row r="146" ht="15" customHeight="1">
      <c r="A146" s="27"/>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9"/>
    </row>
    <row r="147" ht="15" customHeight="1">
      <c r="A147" s="27"/>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9"/>
    </row>
    <row r="148" ht="15" customHeight="1">
      <c r="A148" s="27"/>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9"/>
    </row>
    <row r="149" ht="15" customHeight="1">
      <c r="A149" s="27"/>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9"/>
    </row>
    <row r="150" ht="15" customHeight="1">
      <c r="A150" s="27"/>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9"/>
    </row>
    <row r="151" ht="15" customHeight="1">
      <c r="A151" s="27"/>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9"/>
    </row>
    <row r="152" ht="15" customHeight="1">
      <c r="A152" s="27"/>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9"/>
    </row>
    <row r="153" ht="15" customHeight="1">
      <c r="A153" s="27"/>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9"/>
    </row>
    <row r="154" ht="15" customHeight="1">
      <c r="A154" s="27"/>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9"/>
    </row>
    <row r="155" ht="15" customHeight="1">
      <c r="A155" s="27"/>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9"/>
    </row>
    <row r="156" ht="15" customHeight="1">
      <c r="A156" s="27"/>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9"/>
    </row>
    <row r="157" ht="15" customHeight="1">
      <c r="A157" s="27"/>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9"/>
    </row>
    <row r="158" ht="15" customHeight="1">
      <c r="A158" s="27"/>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9"/>
    </row>
    <row r="159" ht="15" customHeight="1">
      <c r="A159" s="27"/>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9"/>
    </row>
    <row r="160" ht="15" customHeight="1">
      <c r="A160" s="27"/>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9"/>
    </row>
    <row r="161" ht="15" customHeight="1">
      <c r="A161" s="27"/>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9"/>
    </row>
    <row r="162" ht="15" customHeight="1">
      <c r="A162" s="27"/>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9"/>
    </row>
    <row r="163" ht="15" customHeight="1">
      <c r="A163" s="27"/>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9"/>
    </row>
    <row r="164" ht="15" customHeight="1">
      <c r="A164" s="27"/>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9"/>
    </row>
    <row r="165" ht="15" customHeight="1">
      <c r="A165" s="27"/>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9"/>
    </row>
    <row r="166" ht="15" customHeight="1">
      <c r="A166" s="27"/>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9"/>
    </row>
    <row r="167" ht="15" customHeight="1">
      <c r="A167" s="27"/>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9"/>
    </row>
    <row r="168" ht="15" customHeight="1">
      <c r="A168" s="27"/>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9"/>
    </row>
    <row r="169" ht="15" customHeight="1">
      <c r="A169" s="27"/>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9"/>
    </row>
    <row r="170" ht="15" customHeight="1">
      <c r="A170" s="27"/>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9"/>
    </row>
    <row r="171" ht="15" customHeight="1">
      <c r="A171" s="27"/>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9"/>
    </row>
    <row r="172" ht="15" customHeight="1">
      <c r="A172" s="27"/>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9"/>
    </row>
    <row r="173" ht="15" customHeight="1">
      <c r="A173" s="27"/>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9"/>
    </row>
    <row r="174" ht="15" customHeight="1">
      <c r="A174" s="27"/>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9"/>
    </row>
    <row r="175" ht="15" customHeight="1">
      <c r="A175" s="27"/>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9"/>
    </row>
    <row r="176" ht="15" customHeight="1">
      <c r="A176" s="27"/>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9"/>
    </row>
    <row r="177" ht="15" customHeight="1">
      <c r="A177" s="27"/>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9"/>
    </row>
    <row r="178" ht="15" customHeight="1">
      <c r="A178" s="27"/>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9"/>
    </row>
    <row r="179" ht="15" customHeight="1">
      <c r="A179" s="27"/>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9"/>
    </row>
    <row r="180" ht="15" customHeight="1">
      <c r="A180" s="27"/>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9"/>
    </row>
    <row r="181" ht="15" customHeight="1">
      <c r="A181" s="27"/>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9"/>
    </row>
    <row r="182" ht="15" customHeight="1">
      <c r="A182" s="27"/>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9"/>
    </row>
    <row r="183" ht="15" customHeight="1">
      <c r="A183" s="27"/>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9"/>
    </row>
    <row r="184" ht="15" customHeight="1">
      <c r="A184" s="27"/>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9"/>
    </row>
    <row r="185" ht="15" customHeight="1">
      <c r="A185" s="27"/>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9"/>
    </row>
    <row r="186" ht="15" customHeight="1">
      <c r="A186" s="27"/>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9"/>
    </row>
    <row r="187" ht="15" customHeight="1">
      <c r="A187" s="27"/>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9"/>
    </row>
    <row r="188" ht="15" customHeight="1">
      <c r="A188" s="27"/>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9"/>
    </row>
    <row r="189" ht="15" customHeight="1">
      <c r="A189" s="27"/>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9"/>
    </row>
    <row r="190" ht="15" customHeight="1">
      <c r="A190" s="27"/>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9"/>
    </row>
    <row r="191" ht="15" customHeight="1">
      <c r="A191" s="27"/>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9"/>
    </row>
    <row r="192" ht="15" customHeight="1">
      <c r="A192" s="27"/>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9"/>
    </row>
    <row r="193" ht="15" customHeight="1">
      <c r="A193" s="27"/>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9"/>
    </row>
    <row r="194" ht="15" customHeight="1">
      <c r="A194" s="27"/>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9"/>
    </row>
    <row r="195" ht="15" customHeight="1">
      <c r="A195" s="27"/>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9"/>
    </row>
    <row r="196" ht="15" customHeight="1">
      <c r="A196" s="27"/>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9"/>
    </row>
    <row r="197" ht="15" customHeight="1">
      <c r="A197" s="27"/>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9"/>
    </row>
    <row r="198" ht="15" customHeight="1">
      <c r="A198" s="27"/>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9"/>
    </row>
    <row r="199" ht="15" customHeight="1">
      <c r="A199" s="27"/>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9"/>
    </row>
    <row r="200" ht="15" customHeight="1">
      <c r="A200" s="27"/>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9"/>
    </row>
    <row r="201" ht="15" customHeight="1">
      <c r="A201" s="27"/>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9"/>
    </row>
    <row r="202" ht="15" customHeight="1">
      <c r="A202" s="27"/>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9"/>
    </row>
    <row r="203" ht="15" customHeight="1">
      <c r="A203" s="27"/>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9"/>
    </row>
    <row r="204" ht="15" customHeight="1">
      <c r="A204" s="27"/>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9"/>
    </row>
    <row r="205" ht="15" customHeight="1">
      <c r="A205" s="27"/>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9"/>
    </row>
    <row r="206" ht="15" customHeight="1">
      <c r="A206" s="27"/>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9"/>
    </row>
    <row r="207" ht="15" customHeight="1">
      <c r="A207" s="27"/>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9"/>
    </row>
    <row r="208" ht="15" customHeight="1">
      <c r="A208" s="27"/>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9"/>
    </row>
    <row r="209" ht="15" customHeight="1">
      <c r="A209" s="27"/>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9"/>
    </row>
    <row r="210" ht="15" customHeight="1">
      <c r="A210" s="27"/>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9"/>
    </row>
    <row r="211" ht="15" customHeight="1">
      <c r="A211" s="27"/>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9"/>
    </row>
    <row r="212" ht="15" customHeight="1">
      <c r="A212" s="27"/>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9"/>
    </row>
    <row r="213" ht="15" customHeight="1">
      <c r="A213" s="27"/>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9"/>
    </row>
    <row r="214" ht="15" customHeight="1">
      <c r="A214" s="27"/>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9"/>
    </row>
    <row r="215" ht="15" customHeight="1">
      <c r="A215" s="27"/>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9"/>
    </row>
    <row r="216" ht="15" customHeight="1">
      <c r="A216" s="27"/>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9"/>
    </row>
    <row r="217" ht="15" customHeight="1">
      <c r="A217" s="27"/>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9"/>
    </row>
    <row r="218" ht="15" customHeight="1">
      <c r="A218" s="27"/>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9"/>
    </row>
    <row r="219" ht="15" customHeight="1">
      <c r="A219" s="27"/>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9"/>
    </row>
    <row r="220" ht="15" customHeight="1">
      <c r="A220" s="27"/>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9"/>
    </row>
    <row r="221" ht="15" customHeight="1">
      <c r="A221" s="27"/>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9"/>
    </row>
    <row r="222" ht="15" customHeight="1">
      <c r="A222" s="27"/>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9"/>
    </row>
    <row r="223" ht="15" customHeight="1">
      <c r="A223" s="27"/>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9"/>
    </row>
    <row r="224" ht="15" customHeight="1">
      <c r="A224" s="27"/>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9"/>
    </row>
    <row r="225" ht="15" customHeight="1">
      <c r="A225" s="27"/>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9"/>
    </row>
    <row r="226" ht="15" customHeight="1">
      <c r="A226" s="27"/>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9"/>
    </row>
    <row r="227" ht="15" customHeight="1">
      <c r="A227" s="27"/>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9"/>
    </row>
    <row r="228" ht="15" customHeight="1">
      <c r="A228" s="27"/>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9"/>
    </row>
    <row r="229" ht="15" customHeight="1">
      <c r="A229" s="27"/>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9"/>
    </row>
    <row r="230" ht="15" customHeight="1">
      <c r="A230" s="27"/>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9"/>
    </row>
    <row r="231" ht="15" customHeight="1">
      <c r="A231" s="27"/>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9"/>
    </row>
    <row r="232" ht="15" customHeight="1">
      <c r="A232" s="27"/>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9"/>
    </row>
    <row r="233" ht="15" customHeight="1">
      <c r="A233" s="27"/>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9"/>
    </row>
    <row r="234" ht="15" customHeight="1">
      <c r="A234" s="27"/>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9"/>
    </row>
    <row r="235" ht="15" customHeight="1">
      <c r="A235" s="27"/>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9"/>
    </row>
    <row r="236" ht="15" customHeight="1">
      <c r="A236" s="27"/>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9"/>
    </row>
    <row r="237" ht="15" customHeight="1">
      <c r="A237" s="27"/>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9"/>
    </row>
    <row r="238" ht="15" customHeight="1">
      <c r="A238" s="27"/>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9"/>
    </row>
    <row r="239" ht="15" customHeight="1">
      <c r="A239" s="27"/>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9"/>
    </row>
    <row r="240" ht="15" customHeight="1">
      <c r="A240" s="27"/>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9"/>
    </row>
    <row r="241" ht="15" customHeight="1">
      <c r="A241" s="27"/>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9"/>
    </row>
    <row r="242" ht="15" customHeight="1">
      <c r="A242" s="27"/>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9"/>
    </row>
    <row r="243" ht="15" customHeight="1">
      <c r="A243" s="27"/>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9"/>
    </row>
    <row r="244" ht="15" customHeight="1">
      <c r="A244" s="27"/>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9"/>
    </row>
    <row r="245" ht="15" customHeight="1">
      <c r="A245" s="27"/>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9"/>
    </row>
    <row r="246" ht="15" customHeight="1">
      <c r="A246" s="27"/>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9"/>
    </row>
    <row r="247" ht="15" customHeight="1">
      <c r="A247" s="27"/>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9"/>
    </row>
    <row r="248" ht="15" customHeight="1">
      <c r="A248" s="27"/>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9"/>
    </row>
    <row r="249" ht="15" customHeight="1">
      <c r="A249" s="27"/>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9"/>
    </row>
    <row r="250" ht="15" customHeight="1">
      <c r="A250" s="27"/>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9"/>
    </row>
    <row r="251" ht="15" customHeight="1">
      <c r="A251" s="27"/>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9"/>
    </row>
    <row r="252" ht="15" customHeight="1">
      <c r="A252" s="27"/>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9"/>
    </row>
    <row r="253" ht="15" customHeight="1">
      <c r="A253" s="27"/>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9"/>
    </row>
    <row r="254" ht="15" customHeight="1">
      <c r="A254" s="27"/>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9"/>
    </row>
    <row r="255" ht="15" customHeight="1">
      <c r="A255" s="27"/>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9"/>
    </row>
    <row r="256" ht="15" customHeight="1">
      <c r="A256" s="27"/>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9"/>
    </row>
    <row r="257" ht="15" customHeight="1">
      <c r="A257" s="27"/>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9"/>
    </row>
    <row r="258" ht="15" customHeight="1">
      <c r="A258" s="27"/>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9"/>
    </row>
    <row r="259" ht="15" customHeight="1">
      <c r="A259" s="27"/>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9"/>
    </row>
    <row r="260" ht="15" customHeight="1">
      <c r="A260" s="27"/>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9"/>
    </row>
    <row r="261" ht="15" customHeight="1">
      <c r="A261" s="27"/>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9"/>
    </row>
    <row r="262" ht="15" customHeight="1">
      <c r="A262" s="27"/>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9"/>
    </row>
    <row r="263" ht="15" customHeight="1">
      <c r="A263" s="27"/>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9"/>
    </row>
    <row r="264" ht="15" customHeight="1">
      <c r="A264" s="27"/>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9"/>
    </row>
    <row r="265" ht="15" customHeight="1">
      <c r="A265" s="27"/>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9"/>
    </row>
    <row r="266" ht="15" customHeight="1">
      <c r="A266" s="27"/>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9"/>
    </row>
    <row r="267" ht="15" customHeight="1">
      <c r="A267" s="27"/>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9"/>
    </row>
    <row r="268" ht="15" customHeight="1">
      <c r="A268" s="27"/>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9"/>
    </row>
    <row r="269" ht="15" customHeight="1">
      <c r="A269" s="27"/>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9"/>
    </row>
    <row r="270" ht="15" customHeight="1">
      <c r="A270" s="27"/>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9"/>
    </row>
    <row r="271" ht="15" customHeight="1">
      <c r="A271" s="27"/>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9"/>
    </row>
    <row r="272" ht="15" customHeight="1">
      <c r="A272" s="27"/>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9"/>
    </row>
    <row r="273" ht="15" customHeight="1">
      <c r="A273" s="27"/>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9"/>
    </row>
    <row r="274" ht="15" customHeight="1">
      <c r="A274" s="27"/>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9"/>
    </row>
    <row r="275" ht="15" customHeight="1">
      <c r="A275" s="27"/>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9"/>
    </row>
    <row r="276" ht="15" customHeight="1">
      <c r="A276" s="27"/>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9"/>
    </row>
    <row r="277" ht="15" customHeight="1">
      <c r="A277" s="27"/>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9"/>
    </row>
    <row r="278" ht="15" customHeight="1">
      <c r="A278" s="27"/>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9"/>
    </row>
    <row r="279" ht="15" customHeight="1">
      <c r="A279" s="27"/>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9"/>
    </row>
    <row r="280" ht="15" customHeight="1">
      <c r="A280" s="27"/>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9"/>
    </row>
    <row r="281" ht="15" customHeight="1">
      <c r="A281" s="27"/>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9"/>
    </row>
    <row r="282" ht="15" customHeight="1">
      <c r="A282" s="27"/>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9"/>
    </row>
    <row r="283" ht="15" customHeight="1">
      <c r="A283" s="27"/>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9"/>
    </row>
    <row r="284" ht="15" customHeight="1">
      <c r="A284" s="27"/>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9"/>
    </row>
    <row r="285" ht="15" customHeight="1">
      <c r="A285" s="27"/>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9"/>
    </row>
    <row r="286" ht="15" customHeight="1">
      <c r="A286" s="27"/>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9"/>
    </row>
    <row r="287" ht="15" customHeight="1">
      <c r="A287" s="27"/>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9"/>
    </row>
    <row r="288" ht="15" customHeight="1">
      <c r="A288" s="27"/>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9"/>
    </row>
    <row r="289" ht="15" customHeight="1">
      <c r="A289" s="27"/>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9"/>
    </row>
    <row r="290" ht="15" customHeight="1">
      <c r="A290" s="27"/>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9"/>
    </row>
    <row r="291" ht="15" customHeight="1">
      <c r="A291" s="27"/>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9"/>
    </row>
    <row r="292" ht="15" customHeight="1">
      <c r="A292" s="27"/>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9"/>
    </row>
    <row r="293" ht="15" customHeight="1">
      <c r="A293" s="27"/>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9"/>
    </row>
    <row r="294" ht="15" customHeight="1">
      <c r="A294" s="27"/>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9"/>
    </row>
    <row r="295" ht="15" customHeight="1">
      <c r="A295" s="27"/>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9"/>
    </row>
    <row r="296" ht="15" customHeight="1">
      <c r="A296" s="27"/>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9"/>
    </row>
    <row r="297" ht="15" customHeight="1">
      <c r="A297" s="27"/>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9"/>
    </row>
    <row r="298" ht="15" customHeight="1">
      <c r="A298" s="27"/>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9"/>
    </row>
    <row r="299" ht="15" customHeight="1">
      <c r="A299" s="27"/>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9"/>
    </row>
    <row r="300" ht="15" customHeight="1">
      <c r="A300" s="27"/>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9"/>
    </row>
    <row r="301" ht="15" customHeight="1">
      <c r="A301" s="27"/>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9"/>
    </row>
    <row r="302" ht="15" customHeight="1">
      <c r="A302" s="27"/>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9"/>
    </row>
    <row r="303" ht="15" customHeight="1">
      <c r="A303" s="27"/>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9"/>
    </row>
    <row r="304" ht="15" customHeight="1">
      <c r="A304" s="27"/>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9"/>
    </row>
    <row r="305" ht="15" customHeight="1">
      <c r="A305" s="27"/>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9"/>
    </row>
    <row r="306" ht="15" customHeight="1">
      <c r="A306" s="27"/>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9"/>
    </row>
    <row r="307" ht="15" customHeight="1">
      <c r="A307" s="27"/>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9"/>
    </row>
    <row r="308" ht="15" customHeight="1">
      <c r="A308" s="27"/>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9"/>
    </row>
    <row r="309" ht="15" customHeight="1">
      <c r="A309" s="27"/>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9"/>
    </row>
    <row r="310" ht="15" customHeight="1">
      <c r="A310" s="27"/>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9"/>
    </row>
    <row r="311" ht="15" customHeight="1">
      <c r="A311" s="27"/>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9"/>
    </row>
    <row r="312" ht="15" customHeight="1">
      <c r="A312" s="27"/>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9"/>
    </row>
    <row r="313" ht="15" customHeight="1">
      <c r="A313" s="27"/>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9"/>
    </row>
    <row r="314" ht="15" customHeight="1">
      <c r="A314" s="27"/>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9"/>
    </row>
    <row r="315" ht="15" customHeight="1">
      <c r="A315" s="27"/>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9"/>
    </row>
    <row r="316" ht="15" customHeight="1">
      <c r="A316" s="27"/>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9"/>
    </row>
    <row r="317" ht="15" customHeight="1">
      <c r="A317" s="27"/>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9"/>
    </row>
    <row r="318" ht="15" customHeight="1">
      <c r="A318" s="27"/>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9"/>
    </row>
    <row r="319" ht="15" customHeight="1">
      <c r="A319" s="27"/>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9"/>
    </row>
    <row r="320" ht="15" customHeight="1">
      <c r="A320" s="27"/>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9"/>
    </row>
    <row r="321" ht="15" customHeight="1">
      <c r="A321" s="27"/>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9"/>
    </row>
    <row r="322" ht="15" customHeight="1">
      <c r="A322" s="27"/>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9"/>
    </row>
    <row r="323" ht="15" customHeight="1">
      <c r="A323" s="27"/>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9"/>
    </row>
    <row r="324" ht="15" customHeight="1">
      <c r="A324" s="27"/>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9"/>
    </row>
    <row r="325" ht="15" customHeight="1">
      <c r="A325" s="27"/>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9"/>
    </row>
    <row r="326" ht="15" customHeight="1">
      <c r="A326" s="27"/>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9"/>
    </row>
    <row r="327" ht="15" customHeight="1">
      <c r="A327" s="27"/>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9"/>
    </row>
    <row r="328" ht="15" customHeight="1">
      <c r="A328" s="27"/>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9"/>
    </row>
    <row r="329" ht="15" customHeight="1">
      <c r="A329" s="27"/>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9"/>
    </row>
    <row r="330" ht="15" customHeight="1">
      <c r="A330" s="27"/>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9"/>
    </row>
    <row r="331" ht="15" customHeight="1">
      <c r="A331" s="27"/>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9"/>
    </row>
    <row r="332" ht="15" customHeight="1">
      <c r="A332" s="27"/>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9"/>
    </row>
    <row r="333" ht="15" customHeight="1">
      <c r="A333" s="27"/>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9"/>
    </row>
    <row r="334" ht="15" customHeight="1">
      <c r="A334" s="27"/>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9"/>
    </row>
    <row r="335" ht="15" customHeight="1">
      <c r="A335" s="27"/>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9"/>
    </row>
    <row r="336" ht="15" customHeight="1">
      <c r="A336" s="27"/>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9"/>
    </row>
    <row r="337" ht="15" customHeight="1">
      <c r="A337" s="27"/>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9"/>
    </row>
    <row r="338" ht="15" customHeight="1">
      <c r="A338" s="27"/>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9"/>
    </row>
    <row r="339" ht="15" customHeight="1">
      <c r="A339" s="27"/>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9"/>
    </row>
    <row r="340" ht="15" customHeight="1">
      <c r="A340" s="27"/>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9"/>
    </row>
    <row r="341" ht="15" customHeight="1">
      <c r="A341" s="27"/>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9"/>
    </row>
    <row r="342" ht="15" customHeight="1">
      <c r="A342" s="27"/>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9"/>
    </row>
    <row r="343" ht="15" customHeight="1">
      <c r="A343" s="27"/>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9"/>
    </row>
    <row r="344" ht="15" customHeight="1">
      <c r="A344" s="27"/>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9"/>
    </row>
    <row r="345" ht="15" customHeight="1">
      <c r="A345" s="27"/>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9"/>
    </row>
    <row r="346" ht="15" customHeight="1">
      <c r="A346" s="27"/>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9"/>
    </row>
    <row r="347" ht="15" customHeight="1">
      <c r="A347" s="27"/>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9"/>
    </row>
    <row r="348" ht="15" customHeight="1">
      <c r="A348" s="27"/>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9"/>
    </row>
    <row r="349" ht="15" customHeight="1">
      <c r="A349" s="27"/>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9"/>
    </row>
    <row r="350" ht="15" customHeight="1">
      <c r="A350" s="27"/>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9"/>
    </row>
    <row r="351" ht="15" customHeight="1">
      <c r="A351" s="27"/>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9"/>
    </row>
    <row r="352" ht="15" customHeight="1">
      <c r="A352" s="27"/>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9"/>
    </row>
    <row r="353" ht="15" customHeight="1">
      <c r="A353" s="27"/>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9"/>
    </row>
    <row r="354" ht="15" customHeight="1">
      <c r="A354" s="27"/>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9"/>
    </row>
    <row r="355" ht="15" customHeight="1">
      <c r="A355" s="27"/>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9"/>
    </row>
    <row r="356" ht="15" customHeight="1">
      <c r="A356" s="27"/>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9"/>
    </row>
    <row r="357" ht="15" customHeight="1">
      <c r="A357" s="27"/>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9"/>
    </row>
    <row r="358" ht="15" customHeight="1">
      <c r="A358" s="27"/>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9"/>
    </row>
    <row r="359" ht="15" customHeight="1">
      <c r="A359" s="27"/>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9"/>
    </row>
    <row r="360" ht="15" customHeight="1">
      <c r="A360" s="27"/>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9"/>
    </row>
    <row r="361" ht="15" customHeight="1">
      <c r="A361" s="27"/>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9"/>
    </row>
    <row r="362" ht="15" customHeight="1">
      <c r="A362" s="27"/>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9"/>
    </row>
    <row r="363" ht="15" customHeight="1">
      <c r="A363" s="27"/>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9"/>
    </row>
    <row r="364" ht="15" customHeight="1">
      <c r="A364" s="27"/>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9"/>
    </row>
    <row r="365" ht="15" customHeight="1">
      <c r="A365" s="27"/>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9"/>
    </row>
    <row r="366" ht="15" customHeight="1">
      <c r="A366" s="27"/>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9"/>
    </row>
    <row r="367" ht="15" customHeight="1">
      <c r="A367" s="27"/>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9"/>
    </row>
    <row r="368" ht="15" customHeight="1">
      <c r="A368" s="27"/>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9"/>
    </row>
    <row r="369" ht="15" customHeight="1">
      <c r="A369" s="27"/>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9"/>
    </row>
    <row r="370" ht="15" customHeight="1">
      <c r="A370" s="27"/>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9"/>
    </row>
    <row r="371" ht="15" customHeight="1">
      <c r="A371" s="27"/>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9"/>
    </row>
    <row r="372" ht="15" customHeight="1">
      <c r="A372" s="27"/>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9"/>
    </row>
    <row r="373" ht="15" customHeight="1">
      <c r="A373" s="27"/>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9"/>
    </row>
    <row r="374" ht="15" customHeight="1">
      <c r="A374" s="27"/>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9"/>
    </row>
    <row r="375" ht="15" customHeight="1">
      <c r="A375" s="27"/>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9"/>
    </row>
    <row r="376" ht="15" customHeight="1">
      <c r="A376" s="27"/>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9"/>
    </row>
    <row r="377" ht="15" customHeight="1">
      <c r="A377" s="27"/>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9"/>
    </row>
    <row r="378" ht="15" customHeight="1">
      <c r="A378" s="27"/>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9"/>
    </row>
    <row r="379" ht="15" customHeight="1">
      <c r="A379" s="27"/>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9"/>
    </row>
    <row r="380" ht="15" customHeight="1">
      <c r="A380" s="27"/>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9"/>
    </row>
    <row r="381" ht="15" customHeight="1">
      <c r="A381" s="27"/>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9"/>
    </row>
    <row r="382" ht="15" customHeight="1">
      <c r="A382" s="27"/>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9"/>
    </row>
    <row r="383" ht="15" customHeight="1">
      <c r="A383" s="27"/>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9"/>
    </row>
    <row r="384" ht="15" customHeight="1">
      <c r="A384" s="27"/>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9"/>
    </row>
    <row r="385" ht="15" customHeight="1">
      <c r="A385" s="27"/>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9"/>
    </row>
    <row r="386" ht="15" customHeight="1">
      <c r="A386" s="27"/>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9"/>
    </row>
    <row r="387" ht="15" customHeight="1">
      <c r="A387" s="27"/>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9"/>
    </row>
    <row r="388" ht="15" customHeight="1">
      <c r="A388" s="27"/>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9"/>
    </row>
    <row r="389" ht="15" customHeight="1">
      <c r="A389" s="27"/>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9"/>
    </row>
    <row r="390" ht="15" customHeight="1">
      <c r="A390" s="27"/>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9"/>
    </row>
    <row r="391" ht="15" customHeight="1">
      <c r="A391" s="27"/>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9"/>
    </row>
    <row r="392" ht="15" customHeight="1">
      <c r="A392" s="27"/>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9"/>
    </row>
    <row r="393" ht="15" customHeight="1">
      <c r="A393" s="27"/>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9"/>
    </row>
    <row r="394" ht="15" customHeight="1">
      <c r="A394" s="27"/>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9"/>
    </row>
    <row r="395" ht="15" customHeight="1">
      <c r="A395" s="27"/>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9"/>
    </row>
    <row r="396" ht="15" customHeight="1">
      <c r="A396" s="27"/>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9"/>
    </row>
    <row r="397" ht="15" customHeight="1">
      <c r="A397" s="27"/>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9"/>
    </row>
    <row r="398" ht="15" customHeight="1">
      <c r="A398" s="27"/>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9"/>
    </row>
    <row r="399" ht="15" customHeight="1">
      <c r="A399" s="27"/>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9"/>
    </row>
    <row r="400" ht="15" customHeight="1">
      <c r="A400" s="27"/>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9"/>
    </row>
    <row r="401" ht="15" customHeight="1">
      <c r="A401" s="27"/>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9"/>
    </row>
    <row r="402" ht="15" customHeight="1">
      <c r="A402" s="27"/>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9"/>
    </row>
    <row r="403" ht="15" customHeight="1">
      <c r="A403" s="27"/>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9"/>
    </row>
    <row r="404" ht="15" customHeight="1">
      <c r="A404" s="27"/>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9"/>
    </row>
    <row r="405" ht="15" customHeight="1">
      <c r="A405" s="27"/>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9"/>
    </row>
    <row r="406" ht="15" customHeight="1">
      <c r="A406" s="27"/>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9"/>
    </row>
    <row r="407" ht="15" customHeight="1">
      <c r="A407" s="27"/>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9"/>
    </row>
    <row r="408" ht="15" customHeight="1">
      <c r="A408" s="27"/>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9"/>
    </row>
    <row r="409" ht="15" customHeight="1">
      <c r="A409" s="27"/>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9"/>
    </row>
    <row r="410" ht="15" customHeight="1">
      <c r="A410" s="27"/>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9"/>
    </row>
    <row r="411" ht="15" customHeight="1">
      <c r="A411" s="27"/>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9"/>
    </row>
    <row r="412" ht="15" customHeight="1">
      <c r="A412" s="27"/>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9"/>
    </row>
    <row r="413" ht="15" customHeight="1">
      <c r="A413" s="27"/>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9"/>
    </row>
    <row r="414" ht="15" customHeight="1">
      <c r="A414" s="27"/>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9"/>
    </row>
    <row r="415" ht="15" customHeight="1">
      <c r="A415" s="27"/>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9"/>
    </row>
    <row r="416" ht="15" customHeight="1">
      <c r="A416" s="27"/>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9"/>
    </row>
    <row r="417" ht="15" customHeight="1">
      <c r="A417" s="27"/>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9"/>
    </row>
    <row r="418" ht="15" customHeight="1">
      <c r="A418" s="27"/>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9"/>
    </row>
    <row r="419" ht="15" customHeight="1">
      <c r="A419" s="27"/>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9"/>
    </row>
    <row r="420" ht="15" customHeight="1">
      <c r="A420" s="27"/>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9"/>
    </row>
    <row r="421" ht="15" customHeight="1">
      <c r="A421" s="27"/>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9"/>
    </row>
    <row r="422" ht="15" customHeight="1">
      <c r="A422" s="27"/>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9"/>
    </row>
    <row r="423" ht="15" customHeight="1">
      <c r="A423" s="27"/>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9"/>
    </row>
    <row r="424" ht="15" customHeight="1">
      <c r="A424" s="27"/>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9"/>
    </row>
    <row r="425" ht="15" customHeight="1">
      <c r="A425" s="27"/>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9"/>
    </row>
    <row r="426" ht="15" customHeight="1">
      <c r="A426" s="27"/>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9"/>
    </row>
    <row r="427" ht="15" customHeight="1">
      <c r="A427" s="27"/>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9"/>
    </row>
    <row r="428" ht="15" customHeight="1">
      <c r="A428" s="27"/>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9"/>
    </row>
    <row r="429" ht="15" customHeight="1">
      <c r="A429" s="27"/>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9"/>
    </row>
    <row r="430" ht="15" customHeight="1">
      <c r="A430" s="27"/>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9"/>
    </row>
    <row r="431" ht="15" customHeight="1">
      <c r="A431" s="27"/>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9"/>
    </row>
    <row r="432" ht="15" customHeight="1">
      <c r="A432" s="27"/>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9"/>
    </row>
    <row r="433" ht="15" customHeight="1">
      <c r="A433" s="27"/>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9"/>
    </row>
    <row r="434" ht="15" customHeight="1">
      <c r="A434" s="27"/>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9"/>
    </row>
    <row r="435" ht="15" customHeight="1">
      <c r="A435" s="27"/>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9"/>
    </row>
    <row r="436" ht="15" customHeight="1">
      <c r="A436" s="27"/>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9"/>
    </row>
    <row r="437" ht="15" customHeight="1">
      <c r="A437" s="27"/>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9"/>
    </row>
    <row r="438" ht="15" customHeight="1">
      <c r="A438" s="27"/>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9"/>
    </row>
    <row r="439" ht="15" customHeight="1">
      <c r="A439" s="27"/>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9"/>
    </row>
    <row r="440" ht="15" customHeight="1">
      <c r="A440" s="27"/>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9"/>
    </row>
    <row r="441" ht="15" customHeight="1">
      <c r="A441" s="27"/>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9"/>
    </row>
    <row r="442" ht="15" customHeight="1">
      <c r="A442" s="27"/>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9"/>
    </row>
    <row r="443" ht="15" customHeight="1">
      <c r="A443" s="27"/>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9"/>
    </row>
    <row r="444" ht="15" customHeight="1">
      <c r="A444" s="27"/>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9"/>
    </row>
    <row r="445" ht="15" customHeight="1">
      <c r="A445" s="27"/>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9"/>
    </row>
    <row r="446" ht="15" customHeight="1">
      <c r="A446" s="27"/>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9"/>
    </row>
    <row r="447" ht="15" customHeight="1">
      <c r="A447" s="27"/>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9"/>
    </row>
    <row r="448" ht="15" customHeight="1">
      <c r="A448" s="27"/>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9"/>
    </row>
    <row r="449" ht="15" customHeight="1">
      <c r="A449" s="27"/>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9"/>
    </row>
    <row r="450" ht="15" customHeight="1">
      <c r="A450" s="27"/>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9"/>
    </row>
    <row r="451" ht="15" customHeight="1">
      <c r="A451" s="27"/>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9"/>
    </row>
    <row r="452" ht="15" customHeight="1">
      <c r="A452" s="27"/>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9"/>
    </row>
    <row r="453" ht="15" customHeight="1">
      <c r="A453" s="27"/>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9"/>
    </row>
    <row r="454" ht="15" customHeight="1">
      <c r="A454" s="27"/>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9"/>
    </row>
    <row r="455" ht="15" customHeight="1">
      <c r="A455" s="27"/>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9"/>
    </row>
    <row r="456" ht="15" customHeight="1">
      <c r="A456" s="27"/>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9"/>
    </row>
    <row r="457" ht="15" customHeight="1">
      <c r="A457" s="27"/>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9"/>
    </row>
    <row r="458" ht="15" customHeight="1">
      <c r="A458" s="27"/>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9"/>
    </row>
    <row r="459" ht="15" customHeight="1">
      <c r="A459" s="27"/>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9"/>
    </row>
    <row r="460" ht="15" customHeight="1">
      <c r="A460" s="27"/>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9"/>
    </row>
    <row r="461" ht="15" customHeight="1">
      <c r="A461" s="27"/>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9"/>
    </row>
    <row r="462" ht="15" customHeight="1">
      <c r="A462" s="27"/>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9"/>
    </row>
    <row r="463" ht="15" customHeight="1">
      <c r="A463" s="27"/>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9"/>
    </row>
    <row r="464" ht="15" customHeight="1">
      <c r="A464" s="27"/>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9"/>
    </row>
    <row r="465" ht="15" customHeight="1">
      <c r="A465" s="27"/>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9"/>
    </row>
    <row r="466" ht="15" customHeight="1">
      <c r="A466" s="27"/>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9"/>
    </row>
    <row r="467" ht="15" customHeight="1">
      <c r="A467" s="27"/>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9"/>
    </row>
    <row r="468" ht="15" customHeight="1">
      <c r="A468" s="27"/>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9"/>
    </row>
    <row r="469" ht="15" customHeight="1">
      <c r="A469" s="27"/>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9"/>
    </row>
    <row r="470" ht="15" customHeight="1">
      <c r="A470" s="27"/>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9"/>
    </row>
    <row r="471" ht="15" customHeight="1">
      <c r="A471" s="27"/>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9"/>
    </row>
    <row r="472" ht="15" customHeight="1">
      <c r="A472" s="27"/>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9"/>
    </row>
    <row r="473" ht="15" customHeight="1">
      <c r="A473" s="27"/>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9"/>
    </row>
    <row r="474" ht="15" customHeight="1">
      <c r="A474" s="27"/>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9"/>
    </row>
    <row r="475" ht="15" customHeight="1">
      <c r="A475" s="27"/>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9"/>
    </row>
    <row r="476" ht="15" customHeight="1">
      <c r="A476" s="27"/>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9"/>
    </row>
    <row r="477" ht="15" customHeight="1">
      <c r="A477" s="27"/>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9"/>
    </row>
    <row r="478" ht="15" customHeight="1">
      <c r="A478" s="27"/>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9"/>
    </row>
    <row r="479" ht="15" customHeight="1">
      <c r="A479" s="27"/>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9"/>
    </row>
    <row r="480" ht="15" customHeight="1">
      <c r="A480" s="27"/>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9"/>
    </row>
    <row r="481" ht="15" customHeight="1">
      <c r="A481" s="27"/>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9"/>
    </row>
    <row r="482" ht="15" customHeight="1">
      <c r="A482" s="27"/>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9"/>
    </row>
    <row r="483" ht="15" customHeight="1">
      <c r="A483" s="27"/>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9"/>
    </row>
    <row r="484" ht="15" customHeight="1">
      <c r="A484" s="27"/>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9"/>
    </row>
    <row r="485" ht="15" customHeight="1">
      <c r="A485" s="27"/>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9"/>
    </row>
    <row r="486" ht="15" customHeight="1">
      <c r="A486" s="27"/>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9"/>
    </row>
    <row r="487" ht="15" customHeight="1">
      <c r="A487" s="27"/>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9"/>
    </row>
    <row r="488" ht="15" customHeight="1">
      <c r="A488" s="27"/>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9"/>
    </row>
    <row r="489" ht="15" customHeight="1">
      <c r="A489" s="27"/>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9"/>
    </row>
    <row r="490" ht="15" customHeight="1">
      <c r="A490" s="27"/>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9"/>
    </row>
    <row r="491" ht="15" customHeight="1">
      <c r="A491" s="27"/>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9"/>
    </row>
    <row r="492" ht="15" customHeight="1">
      <c r="A492" s="27"/>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9"/>
    </row>
    <row r="493" ht="15" customHeight="1">
      <c r="A493" s="27"/>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9"/>
    </row>
    <row r="494" ht="15" customHeight="1">
      <c r="A494" s="27"/>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9"/>
    </row>
    <row r="495" ht="15" customHeight="1">
      <c r="A495" s="27"/>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9"/>
    </row>
    <row r="496" ht="15" customHeight="1">
      <c r="A496" s="27"/>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9"/>
    </row>
    <row r="497" ht="15" customHeight="1">
      <c r="A497" s="27"/>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9"/>
    </row>
    <row r="498" ht="15" customHeight="1">
      <c r="A498" s="27"/>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9"/>
    </row>
    <row r="499" ht="15" customHeight="1">
      <c r="A499" s="27"/>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9"/>
    </row>
    <row r="500" ht="15" customHeight="1">
      <c r="A500" s="27"/>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9"/>
    </row>
    <row r="501" ht="15" customHeight="1">
      <c r="A501" s="27"/>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9"/>
    </row>
    <row r="502" ht="15" customHeight="1">
      <c r="A502" s="27"/>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9"/>
    </row>
    <row r="503" ht="15" customHeight="1">
      <c r="A503" s="27"/>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9"/>
    </row>
    <row r="504" ht="15" customHeight="1">
      <c r="A504" s="27"/>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9"/>
    </row>
    <row r="505" ht="15" customHeight="1">
      <c r="A505" s="27"/>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9"/>
    </row>
    <row r="506" ht="15" customHeight="1">
      <c r="A506" s="27"/>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9"/>
    </row>
    <row r="507" ht="15" customHeight="1">
      <c r="A507" s="27"/>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9"/>
    </row>
    <row r="508" ht="15" customHeight="1">
      <c r="A508" s="27"/>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9"/>
    </row>
    <row r="509" ht="15" customHeight="1">
      <c r="A509" s="27"/>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9"/>
    </row>
    <row r="510" ht="15" customHeight="1">
      <c r="A510" s="27"/>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9"/>
    </row>
    <row r="511" ht="15" customHeight="1">
      <c r="A511" s="27"/>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9"/>
    </row>
    <row r="512" ht="15" customHeight="1">
      <c r="A512" s="27"/>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9"/>
    </row>
    <row r="513" ht="15" customHeight="1">
      <c r="A513" s="27"/>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9"/>
    </row>
    <row r="514" ht="15" customHeight="1">
      <c r="A514" s="27"/>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9"/>
    </row>
    <row r="515" ht="15" customHeight="1">
      <c r="A515" s="27"/>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9"/>
    </row>
    <row r="516" ht="15" customHeight="1">
      <c r="A516" s="27"/>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9"/>
    </row>
    <row r="517" ht="15" customHeight="1">
      <c r="A517" s="27"/>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9"/>
    </row>
    <row r="518" ht="15" customHeight="1">
      <c r="A518" s="27"/>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9"/>
    </row>
    <row r="519" ht="15" customHeight="1">
      <c r="A519" s="27"/>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9"/>
    </row>
    <row r="520" ht="15" customHeight="1">
      <c r="A520" s="27"/>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9"/>
    </row>
    <row r="521" ht="15" customHeight="1">
      <c r="A521" s="27"/>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9"/>
    </row>
    <row r="522" ht="15" customHeight="1">
      <c r="A522" s="27"/>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9"/>
    </row>
    <row r="523" ht="15" customHeight="1">
      <c r="A523" s="27"/>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9"/>
    </row>
    <row r="524" ht="15" customHeight="1">
      <c r="A524" s="27"/>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9"/>
    </row>
    <row r="525" ht="15" customHeight="1">
      <c r="A525" s="27"/>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9"/>
    </row>
    <row r="526" ht="15" customHeight="1">
      <c r="A526" s="27"/>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9"/>
    </row>
    <row r="527" ht="15" customHeight="1">
      <c r="A527" s="27"/>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9"/>
    </row>
    <row r="528" ht="15" customHeight="1">
      <c r="A528" s="27"/>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9"/>
    </row>
    <row r="529" ht="15" customHeight="1">
      <c r="A529" s="27"/>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9"/>
    </row>
    <row r="530" ht="15" customHeight="1">
      <c r="A530" s="27"/>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9"/>
    </row>
    <row r="531" ht="15" customHeight="1">
      <c r="A531" s="27"/>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9"/>
    </row>
    <row r="532" ht="15" customHeight="1">
      <c r="A532" s="27"/>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9"/>
    </row>
    <row r="533" ht="15" customHeight="1">
      <c r="A533" s="27"/>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9"/>
    </row>
    <row r="534" ht="15" customHeight="1">
      <c r="A534" s="27"/>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9"/>
    </row>
    <row r="535" ht="15" customHeight="1">
      <c r="A535" s="27"/>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9"/>
    </row>
    <row r="536" ht="15" customHeight="1">
      <c r="A536" s="27"/>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9"/>
    </row>
    <row r="537" ht="15" customHeight="1">
      <c r="A537" s="27"/>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9"/>
    </row>
    <row r="538" ht="15" customHeight="1">
      <c r="A538" s="27"/>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9"/>
    </row>
    <row r="539" ht="15" customHeight="1">
      <c r="A539" s="27"/>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9"/>
    </row>
    <row r="540" ht="15" customHeight="1">
      <c r="A540" s="27"/>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9"/>
    </row>
    <row r="541" ht="15" customHeight="1">
      <c r="A541" s="27"/>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9"/>
    </row>
    <row r="542" ht="15" customHeight="1">
      <c r="A542" s="27"/>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9"/>
    </row>
    <row r="543" ht="15" customHeight="1">
      <c r="A543" s="27"/>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9"/>
    </row>
    <row r="544" ht="15" customHeight="1">
      <c r="A544" s="27"/>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9"/>
    </row>
    <row r="545" ht="15" customHeight="1">
      <c r="A545" s="27"/>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9"/>
    </row>
    <row r="546" ht="15" customHeight="1">
      <c r="A546" s="27"/>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9"/>
    </row>
    <row r="547" ht="15" customHeight="1">
      <c r="A547" s="27"/>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9"/>
    </row>
    <row r="548" ht="15" customHeight="1">
      <c r="A548" s="27"/>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9"/>
    </row>
    <row r="549" ht="15" customHeight="1">
      <c r="A549" s="27"/>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9"/>
    </row>
    <row r="550" ht="15" customHeight="1">
      <c r="A550" s="27"/>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9"/>
    </row>
    <row r="551" ht="15" customHeight="1">
      <c r="A551" s="27"/>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9"/>
    </row>
    <row r="552" ht="15" customHeight="1">
      <c r="A552" s="27"/>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9"/>
    </row>
    <row r="553" ht="15" customHeight="1">
      <c r="A553" s="27"/>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9"/>
    </row>
    <row r="554" ht="15" customHeight="1">
      <c r="A554" s="27"/>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9"/>
    </row>
    <row r="555" ht="15" customHeight="1">
      <c r="A555" s="27"/>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9"/>
    </row>
    <row r="556" ht="15" customHeight="1">
      <c r="A556" s="27"/>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9"/>
    </row>
    <row r="557" ht="15" customHeight="1">
      <c r="A557" s="27"/>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9"/>
    </row>
    <row r="558" ht="15" customHeight="1">
      <c r="A558" s="27"/>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9"/>
    </row>
    <row r="559" ht="15" customHeight="1">
      <c r="A559" s="27"/>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9"/>
    </row>
    <row r="560" ht="15" customHeight="1">
      <c r="A560" s="27"/>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9"/>
    </row>
    <row r="561" ht="15" customHeight="1">
      <c r="A561" s="27"/>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9"/>
    </row>
    <row r="562" ht="15" customHeight="1">
      <c r="A562" s="27"/>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9"/>
    </row>
    <row r="563" ht="15" customHeight="1">
      <c r="A563" s="27"/>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9"/>
    </row>
    <row r="564" ht="15" customHeight="1">
      <c r="A564" s="27"/>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9"/>
    </row>
    <row r="565" ht="15" customHeight="1">
      <c r="A565" s="27"/>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9"/>
    </row>
    <row r="566" ht="15" customHeight="1">
      <c r="A566" s="27"/>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9"/>
    </row>
    <row r="567" ht="15" customHeight="1">
      <c r="A567" s="27"/>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9"/>
    </row>
    <row r="568" ht="15" customHeight="1">
      <c r="A568" s="27"/>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9"/>
    </row>
    <row r="569" ht="15" customHeight="1">
      <c r="A569" s="27"/>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9"/>
    </row>
    <row r="570" ht="15" customHeight="1">
      <c r="A570" s="27"/>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9"/>
    </row>
    <row r="571" ht="15" customHeight="1">
      <c r="A571" s="27"/>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9"/>
    </row>
    <row r="572" ht="15" customHeight="1">
      <c r="A572" s="27"/>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9"/>
    </row>
    <row r="573" ht="15" customHeight="1">
      <c r="A573" s="27"/>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9"/>
    </row>
    <row r="574" ht="15" customHeight="1">
      <c r="A574" s="27"/>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9"/>
    </row>
    <row r="575" ht="15" customHeight="1">
      <c r="A575" s="27"/>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9"/>
    </row>
    <row r="576" ht="15" customHeight="1">
      <c r="A576" s="27"/>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9"/>
    </row>
    <row r="577" ht="15" customHeight="1">
      <c r="A577" s="27"/>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9"/>
    </row>
    <row r="578" ht="15" customHeight="1">
      <c r="A578" s="27"/>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9"/>
    </row>
    <row r="579" ht="15" customHeight="1">
      <c r="A579" s="27"/>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9"/>
    </row>
    <row r="580" ht="15" customHeight="1">
      <c r="A580" s="27"/>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9"/>
    </row>
    <row r="581" ht="15" customHeight="1">
      <c r="A581" s="27"/>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9"/>
    </row>
    <row r="582" ht="15" customHeight="1">
      <c r="A582" s="27"/>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9"/>
    </row>
    <row r="583" ht="15" customHeight="1">
      <c r="A583" s="27"/>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9"/>
    </row>
    <row r="584" ht="15" customHeight="1">
      <c r="A584" s="27"/>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9"/>
    </row>
    <row r="585" ht="15" customHeight="1">
      <c r="A585" s="27"/>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9"/>
    </row>
    <row r="586" ht="15" customHeight="1">
      <c r="A586" s="27"/>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9"/>
    </row>
    <row r="587" ht="15" customHeight="1">
      <c r="A587" s="27"/>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9"/>
    </row>
    <row r="588" ht="15" customHeight="1">
      <c r="A588" s="27"/>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9"/>
    </row>
    <row r="589" ht="15" customHeight="1">
      <c r="A589" s="27"/>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9"/>
    </row>
    <row r="590" ht="15" customHeight="1">
      <c r="A590" s="27"/>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9"/>
    </row>
    <row r="591" ht="15" customHeight="1">
      <c r="A591" s="27"/>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9"/>
    </row>
    <row r="592" ht="15" customHeight="1">
      <c r="A592" s="27"/>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9"/>
    </row>
    <row r="593" ht="15" customHeight="1">
      <c r="A593" s="27"/>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9"/>
    </row>
    <row r="594" ht="15" customHeight="1">
      <c r="A594" s="27"/>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9"/>
    </row>
    <row r="595" ht="15" customHeight="1">
      <c r="A595" s="27"/>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9"/>
    </row>
    <row r="596" ht="15" customHeight="1">
      <c r="A596" s="27"/>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9"/>
    </row>
    <row r="597" ht="15" customHeight="1">
      <c r="A597" s="27"/>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9"/>
    </row>
    <row r="598" ht="15" customHeight="1">
      <c r="A598" s="27"/>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9"/>
    </row>
    <row r="599" ht="15" customHeight="1">
      <c r="A599" s="27"/>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9"/>
    </row>
    <row r="600" ht="15" customHeight="1">
      <c r="A600" s="27"/>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9"/>
    </row>
    <row r="601" ht="15" customHeight="1">
      <c r="A601" s="27"/>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9"/>
    </row>
    <row r="602" ht="15" customHeight="1">
      <c r="A602" s="27"/>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9"/>
    </row>
    <row r="603" ht="15" customHeight="1">
      <c r="A603" s="27"/>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9"/>
    </row>
    <row r="604" ht="15" customHeight="1">
      <c r="A604" s="27"/>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9"/>
    </row>
    <row r="605" ht="15" customHeight="1">
      <c r="A605" s="27"/>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9"/>
    </row>
    <row r="606" ht="15" customHeight="1">
      <c r="A606" s="27"/>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9"/>
    </row>
    <row r="607" ht="15" customHeight="1">
      <c r="A607" s="27"/>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9"/>
    </row>
    <row r="608" ht="15" customHeight="1">
      <c r="A608" s="27"/>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9"/>
    </row>
    <row r="609" ht="15" customHeight="1">
      <c r="A609" s="27"/>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9"/>
    </row>
    <row r="610" ht="15" customHeight="1">
      <c r="A610" s="27"/>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9"/>
    </row>
    <row r="611" ht="15" customHeight="1">
      <c r="A611" s="27"/>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9"/>
    </row>
    <row r="612" ht="15" customHeight="1">
      <c r="A612" s="27"/>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9"/>
    </row>
    <row r="613" ht="15" customHeight="1">
      <c r="A613" s="27"/>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9"/>
    </row>
    <row r="614" ht="15" customHeight="1">
      <c r="A614" s="27"/>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9"/>
    </row>
    <row r="615" ht="15" customHeight="1">
      <c r="A615" s="27"/>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9"/>
    </row>
    <row r="616" ht="15" customHeight="1">
      <c r="A616" s="27"/>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9"/>
    </row>
    <row r="617" ht="15" customHeight="1">
      <c r="A617" s="27"/>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9"/>
    </row>
    <row r="618" ht="15" customHeight="1">
      <c r="A618" s="27"/>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9"/>
    </row>
    <row r="619" ht="15" customHeight="1">
      <c r="A619" s="27"/>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9"/>
    </row>
    <row r="620" ht="15" customHeight="1">
      <c r="A620" s="27"/>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9"/>
    </row>
    <row r="621" ht="15" customHeight="1">
      <c r="A621" s="27"/>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9"/>
    </row>
    <row r="622" ht="15" customHeight="1">
      <c r="A622" s="27"/>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9"/>
    </row>
    <row r="623" ht="15" customHeight="1">
      <c r="A623" s="27"/>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9"/>
    </row>
    <row r="624" ht="15" customHeight="1">
      <c r="A624" s="27"/>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9"/>
    </row>
    <row r="625" ht="15" customHeight="1">
      <c r="A625" s="27"/>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9"/>
    </row>
    <row r="626" ht="15" customHeight="1">
      <c r="A626" s="27"/>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9"/>
    </row>
    <row r="627" ht="15" customHeight="1">
      <c r="A627" s="27"/>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9"/>
    </row>
    <row r="628" ht="15" customHeight="1">
      <c r="A628" s="27"/>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9"/>
    </row>
    <row r="629" ht="15" customHeight="1">
      <c r="A629" s="27"/>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9"/>
    </row>
    <row r="630" ht="15" customHeight="1">
      <c r="A630" s="27"/>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9"/>
    </row>
    <row r="631" ht="15" customHeight="1">
      <c r="A631" s="27"/>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9"/>
    </row>
    <row r="632" ht="15" customHeight="1">
      <c r="A632" s="27"/>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9"/>
    </row>
    <row r="633" ht="15" customHeight="1">
      <c r="A633" s="27"/>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9"/>
    </row>
    <row r="634" ht="15" customHeight="1">
      <c r="A634" s="27"/>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9"/>
    </row>
    <row r="635" ht="15" customHeight="1">
      <c r="A635" s="27"/>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9"/>
    </row>
    <row r="636" ht="15" customHeight="1">
      <c r="A636" s="27"/>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9"/>
    </row>
    <row r="637" ht="15" customHeight="1">
      <c r="A637" s="27"/>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9"/>
    </row>
    <row r="638" ht="15" customHeight="1">
      <c r="A638" s="27"/>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9"/>
    </row>
    <row r="639" ht="15" customHeight="1">
      <c r="A639" s="27"/>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9"/>
    </row>
    <row r="640" ht="15" customHeight="1">
      <c r="A640" s="27"/>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9"/>
    </row>
    <row r="641" ht="15" customHeight="1">
      <c r="A641" s="27"/>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9"/>
    </row>
    <row r="642" ht="15" customHeight="1">
      <c r="A642" s="27"/>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9"/>
    </row>
    <row r="643" ht="15" customHeight="1">
      <c r="A643" s="27"/>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9"/>
    </row>
    <row r="644" ht="15" customHeight="1">
      <c r="A644" s="27"/>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9"/>
    </row>
    <row r="645" ht="15" customHeight="1">
      <c r="A645" s="27"/>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9"/>
    </row>
    <row r="646" ht="15" customHeight="1">
      <c r="A646" s="27"/>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9"/>
    </row>
    <row r="647" ht="15" customHeight="1">
      <c r="A647" s="27"/>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9"/>
    </row>
    <row r="648" ht="15" customHeight="1">
      <c r="A648" s="27"/>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9"/>
    </row>
    <row r="649" ht="15" customHeight="1">
      <c r="A649" s="27"/>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9"/>
    </row>
    <row r="650" ht="15" customHeight="1">
      <c r="A650" s="27"/>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9"/>
    </row>
    <row r="651" ht="15" customHeight="1">
      <c r="A651" s="27"/>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9"/>
    </row>
    <row r="652" ht="15" customHeight="1">
      <c r="A652" s="27"/>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9"/>
    </row>
    <row r="653" ht="15" customHeight="1">
      <c r="A653" s="27"/>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9"/>
    </row>
    <row r="654" ht="15" customHeight="1">
      <c r="A654" s="27"/>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9"/>
    </row>
    <row r="655" ht="15" customHeight="1">
      <c r="A655" s="27"/>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9"/>
    </row>
    <row r="656" ht="15" customHeight="1">
      <c r="A656" s="27"/>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9"/>
    </row>
    <row r="657" ht="15" customHeight="1">
      <c r="A657" s="27"/>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9"/>
    </row>
    <row r="658" ht="15" customHeight="1">
      <c r="A658" s="27"/>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9"/>
    </row>
    <row r="659" ht="15" customHeight="1">
      <c r="A659" s="27"/>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9"/>
    </row>
    <row r="660" ht="15" customHeight="1">
      <c r="A660" s="27"/>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9"/>
    </row>
    <row r="661" ht="15" customHeight="1">
      <c r="A661" s="27"/>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9"/>
    </row>
    <row r="662" ht="15" customHeight="1">
      <c r="A662" s="27"/>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9"/>
    </row>
    <row r="663" ht="15" customHeight="1">
      <c r="A663" s="27"/>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9"/>
    </row>
    <row r="664" ht="15" customHeight="1">
      <c r="A664" s="27"/>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9"/>
    </row>
    <row r="665" ht="15" customHeight="1">
      <c r="A665" s="27"/>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9"/>
    </row>
    <row r="666" ht="15" customHeight="1">
      <c r="A666" s="27"/>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9"/>
    </row>
    <row r="667" ht="15" customHeight="1">
      <c r="A667" s="27"/>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9"/>
    </row>
    <row r="668" ht="15" customHeight="1">
      <c r="A668" s="27"/>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9"/>
    </row>
    <row r="669" ht="15" customHeight="1">
      <c r="A669" s="27"/>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9"/>
    </row>
    <row r="670" ht="15" customHeight="1">
      <c r="A670" s="27"/>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9"/>
    </row>
    <row r="671" ht="15" customHeight="1">
      <c r="A671" s="27"/>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9"/>
    </row>
    <row r="672" ht="15" customHeight="1">
      <c r="A672" s="27"/>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9"/>
    </row>
    <row r="673" ht="15" customHeight="1">
      <c r="A673" s="27"/>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9"/>
    </row>
    <row r="674" ht="15" customHeight="1">
      <c r="A674" s="27"/>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9"/>
    </row>
    <row r="675" ht="15" customHeight="1">
      <c r="A675" s="27"/>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9"/>
    </row>
    <row r="676" ht="15" customHeight="1">
      <c r="A676" s="27"/>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9"/>
    </row>
    <row r="677" ht="15" customHeight="1">
      <c r="A677" s="27"/>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9"/>
    </row>
    <row r="678" ht="15" customHeight="1">
      <c r="A678" s="27"/>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9"/>
    </row>
    <row r="679" ht="15" customHeight="1">
      <c r="A679" s="27"/>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9"/>
    </row>
    <row r="680" ht="15" customHeight="1">
      <c r="A680" s="27"/>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9"/>
    </row>
    <row r="681" ht="15" customHeight="1">
      <c r="A681" s="27"/>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9"/>
    </row>
    <row r="682" ht="15" customHeight="1">
      <c r="A682" s="27"/>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9"/>
    </row>
    <row r="683" ht="15" customHeight="1">
      <c r="A683" s="27"/>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9"/>
    </row>
    <row r="684" ht="15" customHeight="1">
      <c r="A684" s="27"/>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9"/>
    </row>
    <row r="685" ht="15" customHeight="1">
      <c r="A685" s="27"/>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9"/>
    </row>
    <row r="686" ht="15" customHeight="1">
      <c r="A686" s="27"/>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9"/>
    </row>
    <row r="687" ht="15" customHeight="1">
      <c r="A687" s="27"/>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9"/>
    </row>
    <row r="688" ht="15" customHeight="1">
      <c r="A688" s="27"/>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9"/>
    </row>
    <row r="689" ht="15" customHeight="1">
      <c r="A689" s="27"/>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9"/>
    </row>
    <row r="690" ht="15" customHeight="1">
      <c r="A690" s="27"/>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9"/>
    </row>
    <row r="691" ht="15" customHeight="1">
      <c r="A691" s="27"/>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9"/>
    </row>
    <row r="692" ht="15" customHeight="1">
      <c r="A692" s="27"/>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9"/>
    </row>
    <row r="693" ht="15" customHeight="1">
      <c r="A693" s="27"/>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9"/>
    </row>
    <row r="694" ht="15" customHeight="1">
      <c r="A694" s="27"/>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9"/>
    </row>
    <row r="695" ht="15" customHeight="1">
      <c r="A695" s="27"/>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9"/>
    </row>
    <row r="696" ht="15" customHeight="1">
      <c r="A696" s="27"/>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9"/>
    </row>
    <row r="697" ht="15" customHeight="1">
      <c r="A697" s="27"/>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9"/>
    </row>
    <row r="698" ht="15" customHeight="1">
      <c r="A698" s="27"/>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9"/>
    </row>
    <row r="699" ht="15" customHeight="1">
      <c r="A699" s="27"/>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9"/>
    </row>
    <row r="700" ht="15" customHeight="1">
      <c r="A700" s="27"/>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9"/>
    </row>
    <row r="701" ht="15" customHeight="1">
      <c r="A701" s="27"/>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9"/>
    </row>
    <row r="702" ht="15" customHeight="1">
      <c r="A702" s="27"/>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9"/>
    </row>
    <row r="703" ht="15" customHeight="1">
      <c r="A703" s="27"/>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9"/>
    </row>
    <row r="704" ht="15" customHeight="1">
      <c r="A704" s="27"/>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9"/>
    </row>
    <row r="705" ht="15" customHeight="1">
      <c r="A705" s="27"/>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9"/>
    </row>
    <row r="706" ht="15" customHeight="1">
      <c r="A706" s="27"/>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9"/>
    </row>
    <row r="707" ht="15" customHeight="1">
      <c r="A707" s="27"/>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9"/>
    </row>
    <row r="708" ht="15" customHeight="1">
      <c r="A708" s="27"/>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9"/>
    </row>
    <row r="709" ht="15" customHeight="1">
      <c r="A709" s="27"/>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9"/>
    </row>
    <row r="710" ht="15" customHeight="1">
      <c r="A710" s="27"/>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9"/>
    </row>
    <row r="711" ht="15" customHeight="1">
      <c r="A711" s="27"/>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9"/>
    </row>
    <row r="712" ht="15" customHeight="1">
      <c r="A712" s="27"/>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9"/>
    </row>
    <row r="713" ht="15" customHeight="1">
      <c r="A713" s="27"/>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9"/>
    </row>
    <row r="714" ht="15" customHeight="1">
      <c r="A714" s="27"/>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9"/>
    </row>
    <row r="715" ht="15" customHeight="1">
      <c r="A715" s="27"/>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9"/>
    </row>
    <row r="716" ht="15" customHeight="1">
      <c r="A716" s="27"/>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9"/>
    </row>
    <row r="717" ht="15" customHeight="1">
      <c r="A717" s="27"/>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9"/>
    </row>
    <row r="718" ht="15" customHeight="1">
      <c r="A718" s="27"/>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9"/>
    </row>
    <row r="719" ht="15" customHeight="1">
      <c r="A719" s="27"/>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9"/>
    </row>
    <row r="720" ht="15" customHeight="1">
      <c r="A720" s="27"/>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9"/>
    </row>
    <row r="721" ht="15" customHeight="1">
      <c r="A721" s="27"/>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9"/>
    </row>
    <row r="722" ht="15" customHeight="1">
      <c r="A722" s="27"/>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9"/>
    </row>
    <row r="723" ht="15" customHeight="1">
      <c r="A723" s="27"/>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9"/>
    </row>
    <row r="724" ht="15" customHeight="1">
      <c r="A724" s="27"/>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9"/>
    </row>
    <row r="725" ht="15" customHeight="1">
      <c r="A725" s="27"/>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9"/>
    </row>
    <row r="726" ht="15" customHeight="1">
      <c r="A726" s="27"/>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9"/>
    </row>
    <row r="727" ht="15" customHeight="1">
      <c r="A727" s="27"/>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9"/>
    </row>
    <row r="728" ht="15" customHeight="1">
      <c r="A728" s="27"/>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9"/>
    </row>
    <row r="729" ht="15" customHeight="1">
      <c r="A729" s="27"/>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9"/>
    </row>
    <row r="730" ht="15" customHeight="1">
      <c r="A730" s="27"/>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9"/>
    </row>
    <row r="731" ht="15" customHeight="1">
      <c r="A731" s="27"/>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9"/>
    </row>
    <row r="732" ht="15" customHeight="1">
      <c r="A732" s="27"/>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9"/>
    </row>
    <row r="733" ht="15" customHeight="1">
      <c r="A733" s="27"/>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9"/>
    </row>
    <row r="734" ht="15" customHeight="1">
      <c r="A734" s="27"/>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9"/>
    </row>
    <row r="735" ht="15" customHeight="1">
      <c r="A735" s="27"/>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9"/>
    </row>
    <row r="736" ht="15" customHeight="1">
      <c r="A736" s="27"/>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9"/>
    </row>
    <row r="737" ht="15" customHeight="1">
      <c r="A737" s="27"/>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9"/>
    </row>
    <row r="738" ht="15" customHeight="1">
      <c r="A738" s="27"/>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9"/>
    </row>
    <row r="739" ht="15" customHeight="1">
      <c r="A739" s="27"/>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9"/>
    </row>
    <row r="740" ht="15" customHeight="1">
      <c r="A740" s="27"/>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9"/>
    </row>
    <row r="741" ht="15" customHeight="1">
      <c r="A741" s="27"/>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9"/>
    </row>
    <row r="742" ht="15" customHeight="1">
      <c r="A742" s="27"/>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9"/>
    </row>
    <row r="743" ht="15" customHeight="1">
      <c r="A743" s="27"/>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9"/>
    </row>
    <row r="744" ht="15" customHeight="1">
      <c r="A744" s="27"/>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9"/>
    </row>
    <row r="745" ht="15" customHeight="1">
      <c r="A745" s="27"/>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9"/>
    </row>
    <row r="746" ht="15" customHeight="1">
      <c r="A746" s="27"/>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9"/>
    </row>
    <row r="747" ht="15" customHeight="1">
      <c r="A747" s="27"/>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9"/>
    </row>
    <row r="748" ht="15" customHeight="1">
      <c r="A748" s="27"/>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9"/>
    </row>
    <row r="749" ht="15" customHeight="1">
      <c r="A749" s="27"/>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9"/>
    </row>
    <row r="750" ht="15" customHeight="1">
      <c r="A750" s="27"/>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9"/>
    </row>
    <row r="751" ht="15" customHeight="1">
      <c r="A751" s="27"/>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9"/>
    </row>
    <row r="752" ht="15" customHeight="1">
      <c r="A752" s="27"/>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9"/>
    </row>
    <row r="753" ht="15" customHeight="1">
      <c r="A753" s="27"/>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9"/>
    </row>
    <row r="754" ht="15" customHeight="1">
      <c r="A754" s="27"/>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9"/>
    </row>
    <row r="755" ht="15" customHeight="1">
      <c r="A755" s="27"/>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9"/>
    </row>
    <row r="756" ht="15" customHeight="1">
      <c r="A756" s="27"/>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9"/>
    </row>
    <row r="757" ht="15" customHeight="1">
      <c r="A757" s="27"/>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9"/>
    </row>
    <row r="758" ht="15" customHeight="1">
      <c r="A758" s="27"/>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9"/>
    </row>
    <row r="759" ht="15" customHeight="1">
      <c r="A759" s="27"/>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9"/>
    </row>
    <row r="760" ht="15" customHeight="1">
      <c r="A760" s="27"/>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9"/>
    </row>
    <row r="761" ht="15" customHeight="1">
      <c r="A761" s="27"/>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9"/>
    </row>
    <row r="762" ht="15" customHeight="1">
      <c r="A762" s="27"/>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9"/>
    </row>
    <row r="763" ht="15" customHeight="1">
      <c r="A763" s="27"/>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9"/>
    </row>
    <row r="764" ht="15" customHeight="1">
      <c r="A764" s="27"/>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9"/>
    </row>
    <row r="765" ht="15" customHeight="1">
      <c r="A765" s="27"/>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9"/>
    </row>
    <row r="766" ht="15" customHeight="1">
      <c r="A766" s="27"/>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9"/>
    </row>
    <row r="767" ht="15" customHeight="1">
      <c r="A767" s="27"/>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9"/>
    </row>
    <row r="768" ht="15" customHeight="1">
      <c r="A768" s="27"/>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9"/>
    </row>
    <row r="769" ht="15" customHeight="1">
      <c r="A769" s="27"/>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9"/>
    </row>
    <row r="770" ht="15" customHeight="1">
      <c r="A770" s="27"/>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9"/>
    </row>
    <row r="771" ht="15" customHeight="1">
      <c r="A771" s="27"/>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9"/>
    </row>
    <row r="772" ht="15" customHeight="1">
      <c r="A772" s="27"/>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9"/>
    </row>
    <row r="773" ht="15" customHeight="1">
      <c r="A773" s="27"/>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9"/>
    </row>
    <row r="774" ht="15" customHeight="1">
      <c r="A774" s="27"/>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9"/>
    </row>
    <row r="775" ht="15" customHeight="1">
      <c r="A775" s="27"/>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9"/>
    </row>
    <row r="776" ht="15" customHeight="1">
      <c r="A776" s="27"/>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9"/>
    </row>
    <row r="777" ht="15" customHeight="1">
      <c r="A777" s="27"/>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9"/>
    </row>
    <row r="778" ht="15" customHeight="1">
      <c r="A778" s="27"/>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9"/>
    </row>
    <row r="779" ht="15" customHeight="1">
      <c r="A779" s="27"/>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9"/>
    </row>
    <row r="780" ht="15" customHeight="1">
      <c r="A780" s="27"/>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9"/>
    </row>
    <row r="781" ht="15" customHeight="1">
      <c r="A781" s="27"/>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9"/>
    </row>
    <row r="782" ht="15" customHeight="1">
      <c r="A782" s="27"/>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9"/>
    </row>
    <row r="783" ht="15" customHeight="1">
      <c r="A783" s="27"/>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9"/>
    </row>
    <row r="784" ht="15" customHeight="1">
      <c r="A784" s="27"/>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9"/>
    </row>
    <row r="785" ht="15" customHeight="1">
      <c r="A785" s="27"/>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9"/>
    </row>
    <row r="786" ht="15" customHeight="1">
      <c r="A786" s="27"/>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9"/>
    </row>
    <row r="787" ht="15" customHeight="1">
      <c r="A787" s="27"/>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9"/>
    </row>
    <row r="788" ht="15" customHeight="1">
      <c r="A788" s="27"/>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9"/>
    </row>
    <row r="789" ht="15" customHeight="1">
      <c r="A789" s="27"/>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9"/>
    </row>
    <row r="790" ht="15" customHeight="1">
      <c r="A790" s="27"/>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9"/>
    </row>
    <row r="791" ht="15" customHeight="1">
      <c r="A791" s="27"/>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9"/>
    </row>
    <row r="792" ht="15" customHeight="1">
      <c r="A792" s="27"/>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9"/>
    </row>
    <row r="793" ht="15" customHeight="1">
      <c r="A793" s="27"/>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9"/>
    </row>
    <row r="794" ht="15" customHeight="1">
      <c r="A794" s="27"/>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9"/>
    </row>
    <row r="795" ht="15" customHeight="1">
      <c r="A795" s="27"/>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9"/>
    </row>
    <row r="796" ht="15" customHeight="1">
      <c r="A796" s="27"/>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9"/>
    </row>
    <row r="797" ht="15" customHeight="1">
      <c r="A797" s="27"/>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9"/>
    </row>
    <row r="798" ht="15" customHeight="1">
      <c r="A798" s="27"/>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9"/>
    </row>
    <row r="799" ht="15" customHeight="1">
      <c r="A799" s="27"/>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9"/>
    </row>
    <row r="800" ht="15" customHeight="1">
      <c r="A800" s="27"/>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9"/>
    </row>
    <row r="801" ht="15" customHeight="1">
      <c r="A801" s="27"/>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9"/>
    </row>
    <row r="802" ht="15" customHeight="1">
      <c r="A802" s="27"/>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9"/>
    </row>
    <row r="803" ht="15" customHeight="1">
      <c r="A803" s="27"/>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9"/>
    </row>
    <row r="804" ht="15" customHeight="1">
      <c r="A804" s="27"/>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9"/>
    </row>
    <row r="805" ht="15" customHeight="1">
      <c r="A805" s="27"/>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9"/>
    </row>
    <row r="806" ht="15" customHeight="1">
      <c r="A806" s="27"/>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9"/>
    </row>
    <row r="807" ht="15" customHeight="1">
      <c r="A807" s="27"/>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9"/>
    </row>
    <row r="808" ht="15" customHeight="1">
      <c r="A808" s="27"/>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9"/>
    </row>
    <row r="809" ht="15" customHeight="1">
      <c r="A809" s="27"/>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9"/>
    </row>
    <row r="810" ht="15" customHeight="1">
      <c r="A810" s="27"/>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9"/>
    </row>
    <row r="811" ht="15" customHeight="1">
      <c r="A811" s="27"/>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9"/>
    </row>
    <row r="812" ht="15" customHeight="1">
      <c r="A812" s="27"/>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9"/>
    </row>
    <row r="813" ht="15" customHeight="1">
      <c r="A813" s="27"/>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9"/>
    </row>
    <row r="814" ht="15" customHeight="1">
      <c r="A814" s="27"/>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9"/>
    </row>
    <row r="815" ht="15" customHeight="1">
      <c r="A815" s="27"/>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9"/>
    </row>
    <row r="816" ht="15" customHeight="1">
      <c r="A816" s="27"/>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9"/>
    </row>
    <row r="817" ht="15" customHeight="1">
      <c r="A817" s="27"/>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9"/>
    </row>
    <row r="818" ht="15" customHeight="1">
      <c r="A818" s="27"/>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9"/>
    </row>
    <row r="819" ht="15" customHeight="1">
      <c r="A819" s="27"/>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9"/>
    </row>
    <row r="820" ht="15" customHeight="1">
      <c r="A820" s="27"/>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9"/>
    </row>
    <row r="821" ht="15" customHeight="1">
      <c r="A821" s="27"/>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9"/>
    </row>
    <row r="822" ht="15" customHeight="1">
      <c r="A822" s="27"/>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9"/>
    </row>
    <row r="823" ht="15" customHeight="1">
      <c r="A823" s="27"/>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9"/>
    </row>
    <row r="824" ht="15" customHeight="1">
      <c r="A824" s="27"/>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9"/>
    </row>
    <row r="825" ht="15" customHeight="1">
      <c r="A825" s="27"/>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9"/>
    </row>
    <row r="826" ht="15" customHeight="1">
      <c r="A826" s="27"/>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9"/>
    </row>
    <row r="827" ht="15" customHeight="1">
      <c r="A827" s="27"/>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9"/>
    </row>
    <row r="828" ht="15" customHeight="1">
      <c r="A828" s="27"/>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9"/>
    </row>
    <row r="829" ht="15" customHeight="1">
      <c r="A829" s="27"/>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9"/>
    </row>
    <row r="830" ht="15" customHeight="1">
      <c r="A830" s="27"/>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9"/>
    </row>
    <row r="831" ht="15" customHeight="1">
      <c r="A831" s="27"/>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9"/>
    </row>
    <row r="832" ht="15" customHeight="1">
      <c r="A832" s="27"/>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9"/>
    </row>
    <row r="833" ht="15" customHeight="1">
      <c r="A833" s="27"/>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9"/>
    </row>
    <row r="834" ht="15" customHeight="1">
      <c r="A834" s="27"/>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9"/>
    </row>
    <row r="835" ht="15" customHeight="1">
      <c r="A835" s="27"/>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9"/>
    </row>
    <row r="836" ht="15" customHeight="1">
      <c r="A836" s="27"/>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9"/>
    </row>
    <row r="837" ht="15" customHeight="1">
      <c r="A837" s="27"/>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9"/>
    </row>
    <row r="838" ht="15" customHeight="1">
      <c r="A838" s="27"/>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9"/>
    </row>
    <row r="839" ht="15" customHeight="1">
      <c r="A839" s="27"/>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9"/>
    </row>
    <row r="840" ht="15" customHeight="1">
      <c r="A840" s="27"/>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9"/>
    </row>
    <row r="841" ht="15" customHeight="1">
      <c r="A841" s="27"/>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9"/>
    </row>
    <row r="842" ht="15" customHeight="1">
      <c r="A842" s="27"/>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9"/>
    </row>
    <row r="843" ht="15" customHeight="1">
      <c r="A843" s="27"/>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9"/>
    </row>
    <row r="844" ht="15" customHeight="1">
      <c r="A844" s="27"/>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9"/>
    </row>
    <row r="845" ht="15" customHeight="1">
      <c r="A845" s="27"/>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9"/>
    </row>
    <row r="846" ht="15" customHeight="1">
      <c r="A846" s="27"/>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9"/>
    </row>
    <row r="847" ht="15" customHeight="1">
      <c r="A847" s="27"/>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9"/>
    </row>
    <row r="848" ht="15" customHeight="1">
      <c r="A848" s="27"/>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9"/>
    </row>
    <row r="849" ht="15" customHeight="1">
      <c r="A849" s="27"/>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9"/>
    </row>
    <row r="850" ht="15" customHeight="1">
      <c r="A850" s="27"/>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9"/>
    </row>
    <row r="851" ht="15" customHeight="1">
      <c r="A851" s="27"/>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9"/>
    </row>
    <row r="852" ht="15" customHeight="1">
      <c r="A852" s="27"/>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9"/>
    </row>
    <row r="853" ht="15" customHeight="1">
      <c r="A853" s="27"/>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9"/>
    </row>
    <row r="854" ht="15" customHeight="1">
      <c r="A854" s="27"/>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9"/>
    </row>
    <row r="855" ht="15" customHeight="1">
      <c r="A855" s="27"/>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9"/>
    </row>
    <row r="856" ht="15" customHeight="1">
      <c r="A856" s="27"/>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9"/>
    </row>
    <row r="857" ht="15" customHeight="1">
      <c r="A857" s="27"/>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9"/>
    </row>
    <row r="858" ht="15" customHeight="1">
      <c r="A858" s="27"/>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9"/>
    </row>
    <row r="859" ht="15" customHeight="1">
      <c r="A859" s="27"/>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9"/>
    </row>
    <row r="860" ht="15" customHeight="1">
      <c r="A860" s="27"/>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9"/>
    </row>
    <row r="861" ht="15" customHeight="1">
      <c r="A861" s="27"/>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9"/>
    </row>
    <row r="862" ht="15" customHeight="1">
      <c r="A862" s="27"/>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9"/>
    </row>
    <row r="863" ht="15" customHeight="1">
      <c r="A863" s="27"/>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9"/>
    </row>
    <row r="864" ht="15" customHeight="1">
      <c r="A864" s="27"/>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9"/>
    </row>
    <row r="865" ht="15" customHeight="1">
      <c r="A865" s="27"/>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9"/>
    </row>
    <row r="866" ht="15" customHeight="1">
      <c r="A866" s="27"/>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9"/>
    </row>
    <row r="867" ht="15" customHeight="1">
      <c r="A867" s="27"/>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9"/>
    </row>
    <row r="868" ht="15" customHeight="1">
      <c r="A868" s="27"/>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9"/>
    </row>
    <row r="869" ht="15" customHeight="1">
      <c r="A869" s="27"/>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9"/>
    </row>
    <row r="870" ht="15" customHeight="1">
      <c r="A870" s="27"/>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9"/>
    </row>
    <row r="871" ht="15" customHeight="1">
      <c r="A871" s="27"/>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9"/>
    </row>
    <row r="872" ht="15" customHeight="1">
      <c r="A872" s="27"/>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9"/>
    </row>
    <row r="873" ht="15" customHeight="1">
      <c r="A873" s="27"/>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9"/>
    </row>
    <row r="874" ht="15" customHeight="1">
      <c r="A874" s="27"/>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9"/>
    </row>
    <row r="875" ht="15" customHeight="1">
      <c r="A875" s="27"/>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9"/>
    </row>
    <row r="876" ht="15" customHeight="1">
      <c r="A876" s="27"/>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9"/>
    </row>
    <row r="877" ht="15" customHeight="1">
      <c r="A877" s="27"/>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9"/>
    </row>
    <row r="878" ht="15" customHeight="1">
      <c r="A878" s="27"/>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9"/>
    </row>
    <row r="879" ht="15" customHeight="1">
      <c r="A879" s="27"/>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9"/>
    </row>
    <row r="880" ht="15" customHeight="1">
      <c r="A880" s="27"/>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9"/>
    </row>
    <row r="881" ht="15" customHeight="1">
      <c r="A881" s="27"/>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9"/>
    </row>
    <row r="882" ht="15" customHeight="1">
      <c r="A882" s="27"/>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9"/>
    </row>
    <row r="883" ht="15" customHeight="1">
      <c r="A883" s="27"/>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9"/>
    </row>
    <row r="884" ht="15" customHeight="1">
      <c r="A884" s="27"/>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9"/>
    </row>
    <row r="885" ht="15" customHeight="1">
      <c r="A885" s="27"/>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9"/>
    </row>
    <row r="886" ht="15" customHeight="1">
      <c r="A886" s="27"/>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9"/>
    </row>
    <row r="887" ht="15" customHeight="1">
      <c r="A887" s="27"/>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9"/>
    </row>
    <row r="888" ht="15" customHeight="1">
      <c r="A888" s="27"/>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9"/>
    </row>
    <row r="889" ht="15" customHeight="1">
      <c r="A889" s="27"/>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9"/>
    </row>
    <row r="890" ht="15" customHeight="1">
      <c r="A890" s="27"/>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9"/>
    </row>
    <row r="891" ht="15" customHeight="1">
      <c r="A891" s="27"/>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9"/>
    </row>
    <row r="892" ht="15" customHeight="1">
      <c r="A892" s="27"/>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9"/>
    </row>
    <row r="893" ht="15" customHeight="1">
      <c r="A893" s="27"/>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9"/>
    </row>
    <row r="894" ht="15" customHeight="1">
      <c r="A894" s="27"/>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9"/>
    </row>
    <row r="895" ht="15" customHeight="1">
      <c r="A895" s="27"/>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9"/>
    </row>
    <row r="896" ht="15" customHeight="1">
      <c r="A896" s="27"/>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9"/>
    </row>
    <row r="897" ht="15" customHeight="1">
      <c r="A897" s="27"/>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9"/>
    </row>
    <row r="898" ht="15" customHeight="1">
      <c r="A898" s="27"/>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9"/>
    </row>
    <row r="899" ht="15" customHeight="1">
      <c r="A899" s="27"/>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9"/>
    </row>
    <row r="900" ht="15" customHeight="1">
      <c r="A900" s="27"/>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9"/>
    </row>
    <row r="901" ht="15" customHeight="1">
      <c r="A901" s="27"/>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9"/>
    </row>
    <row r="902" ht="15" customHeight="1">
      <c r="A902" s="27"/>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9"/>
    </row>
    <row r="903" ht="15" customHeight="1">
      <c r="A903" s="27"/>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9"/>
    </row>
    <row r="904" ht="15" customHeight="1">
      <c r="A904" s="27"/>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9"/>
    </row>
    <row r="905" ht="15" customHeight="1">
      <c r="A905" s="27"/>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9"/>
    </row>
    <row r="906" ht="15" customHeight="1">
      <c r="A906" s="27"/>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9"/>
    </row>
    <row r="907" ht="15" customHeight="1">
      <c r="A907" s="27"/>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9"/>
    </row>
    <row r="908" ht="15" customHeight="1">
      <c r="A908" s="27"/>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9"/>
    </row>
    <row r="909" ht="15" customHeight="1">
      <c r="A909" s="27"/>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9"/>
    </row>
    <row r="910" ht="15" customHeight="1">
      <c r="A910" s="27"/>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9"/>
    </row>
    <row r="911" ht="15" customHeight="1">
      <c r="A911" s="27"/>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9"/>
    </row>
    <row r="912" ht="15" customHeight="1">
      <c r="A912" s="27"/>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9"/>
    </row>
    <row r="913" ht="15" customHeight="1">
      <c r="A913" s="27"/>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9"/>
    </row>
    <row r="914" ht="15" customHeight="1">
      <c r="A914" s="27"/>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9"/>
    </row>
    <row r="915" ht="15" customHeight="1">
      <c r="A915" s="27"/>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9"/>
    </row>
    <row r="916" ht="15" customHeight="1">
      <c r="A916" s="27"/>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9"/>
    </row>
    <row r="917" ht="15" customHeight="1">
      <c r="A917" s="27"/>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9"/>
    </row>
    <row r="918" ht="15" customHeight="1">
      <c r="A918" s="27"/>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9"/>
    </row>
    <row r="919" ht="15" customHeight="1">
      <c r="A919" s="27"/>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9"/>
    </row>
    <row r="920" ht="15" customHeight="1">
      <c r="A920" s="27"/>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9"/>
    </row>
    <row r="921" ht="15" customHeight="1">
      <c r="A921" s="27"/>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9"/>
    </row>
    <row r="922" ht="15" customHeight="1">
      <c r="A922" s="27"/>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9"/>
    </row>
    <row r="923" ht="15" customHeight="1">
      <c r="A923" s="27"/>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9"/>
    </row>
    <row r="924" ht="15" customHeight="1">
      <c r="A924" s="27"/>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9"/>
    </row>
    <row r="925" ht="15" customHeight="1">
      <c r="A925" s="27"/>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9"/>
    </row>
    <row r="926" ht="15" customHeight="1">
      <c r="A926" s="27"/>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9"/>
    </row>
    <row r="927" ht="15" customHeight="1">
      <c r="A927" s="27"/>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9"/>
    </row>
    <row r="928" ht="15" customHeight="1">
      <c r="A928" s="27"/>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9"/>
    </row>
    <row r="929" ht="15" customHeight="1">
      <c r="A929" s="27"/>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9"/>
    </row>
    <row r="930" ht="15" customHeight="1">
      <c r="A930" s="27"/>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9"/>
    </row>
    <row r="931" ht="15" customHeight="1">
      <c r="A931" s="27"/>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9"/>
    </row>
    <row r="932" ht="15" customHeight="1">
      <c r="A932" s="27"/>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9"/>
    </row>
    <row r="933" ht="15" customHeight="1">
      <c r="A933" s="27"/>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9"/>
    </row>
    <row r="934" ht="15" customHeight="1">
      <c r="A934" s="27"/>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9"/>
    </row>
    <row r="935" ht="15" customHeight="1">
      <c r="A935" s="27"/>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9"/>
    </row>
    <row r="936" ht="15" customHeight="1">
      <c r="A936" s="27"/>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9"/>
    </row>
    <row r="937" ht="15" customHeight="1">
      <c r="A937" s="27"/>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9"/>
    </row>
    <row r="938" ht="15" customHeight="1">
      <c r="A938" s="27"/>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9"/>
    </row>
    <row r="939" ht="15" customHeight="1">
      <c r="A939" s="27"/>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9"/>
    </row>
    <row r="940" ht="15" customHeight="1">
      <c r="A940" s="27"/>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9"/>
    </row>
    <row r="941" ht="15" customHeight="1">
      <c r="A941" s="27"/>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9"/>
    </row>
    <row r="942" ht="15" customHeight="1">
      <c r="A942" s="27"/>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9"/>
    </row>
    <row r="943" ht="15" customHeight="1">
      <c r="A943" s="27"/>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9"/>
    </row>
    <row r="944" ht="15" customHeight="1">
      <c r="A944" s="27"/>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9"/>
    </row>
    <row r="945" ht="15" customHeight="1">
      <c r="A945" s="27"/>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9"/>
    </row>
    <row r="946" ht="15" customHeight="1">
      <c r="A946" s="27"/>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9"/>
    </row>
    <row r="947" ht="15" customHeight="1">
      <c r="A947" s="27"/>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9"/>
    </row>
    <row r="948" ht="15" customHeight="1">
      <c r="A948" s="27"/>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9"/>
    </row>
    <row r="949" ht="15" customHeight="1">
      <c r="A949" s="27"/>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9"/>
    </row>
    <row r="950" ht="15" customHeight="1">
      <c r="A950" s="27"/>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9"/>
    </row>
    <row r="951" ht="15" customHeight="1">
      <c r="A951" s="27"/>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9"/>
    </row>
    <row r="952" ht="15" customHeight="1">
      <c r="A952" s="27"/>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9"/>
    </row>
    <row r="953" ht="15" customHeight="1">
      <c r="A953" s="27"/>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9"/>
    </row>
    <row r="954" ht="15" customHeight="1">
      <c r="A954" s="27"/>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9"/>
    </row>
    <row r="955" ht="15" customHeight="1">
      <c r="A955" s="27"/>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9"/>
    </row>
    <row r="956" ht="15" customHeight="1">
      <c r="A956" s="27"/>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9"/>
    </row>
    <row r="957" ht="15" customHeight="1">
      <c r="A957" s="27"/>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9"/>
    </row>
    <row r="958" ht="15" customHeight="1">
      <c r="A958" s="27"/>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9"/>
    </row>
    <row r="959" ht="15" customHeight="1">
      <c r="A959" s="27"/>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9"/>
    </row>
    <row r="960" ht="15" customHeight="1">
      <c r="A960" s="27"/>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9"/>
    </row>
    <row r="961" ht="15" customHeight="1">
      <c r="A961" s="27"/>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9"/>
    </row>
    <row r="962" ht="15" customHeight="1">
      <c r="A962" s="27"/>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9"/>
    </row>
    <row r="963" ht="15" customHeight="1">
      <c r="A963" s="27"/>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9"/>
    </row>
    <row r="964" ht="15" customHeight="1">
      <c r="A964" s="27"/>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9"/>
    </row>
    <row r="965" ht="15" customHeight="1">
      <c r="A965" s="27"/>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9"/>
    </row>
    <row r="966" ht="15" customHeight="1">
      <c r="A966" s="27"/>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9"/>
    </row>
    <row r="967" ht="15" customHeight="1">
      <c r="A967" s="27"/>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9"/>
    </row>
    <row r="968" ht="15" customHeight="1">
      <c r="A968" s="27"/>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9"/>
    </row>
    <row r="969" ht="15" customHeight="1">
      <c r="A969" s="27"/>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9"/>
    </row>
    <row r="970" ht="15" customHeight="1">
      <c r="A970" s="27"/>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9"/>
    </row>
    <row r="971" ht="15" customHeight="1">
      <c r="A971" s="27"/>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9"/>
    </row>
    <row r="972" ht="15" customHeight="1">
      <c r="A972" s="27"/>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9"/>
    </row>
    <row r="973" ht="15" customHeight="1">
      <c r="A973" s="27"/>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9"/>
    </row>
    <row r="974" ht="15" customHeight="1">
      <c r="A974" s="27"/>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9"/>
    </row>
    <row r="975" ht="15" customHeight="1">
      <c r="A975" s="27"/>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9"/>
    </row>
    <row r="976" ht="15" customHeight="1">
      <c r="A976" s="27"/>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9"/>
    </row>
    <row r="977" ht="15" customHeight="1">
      <c r="A977" s="27"/>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9"/>
    </row>
    <row r="978" ht="15" customHeight="1">
      <c r="A978" s="27"/>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9"/>
    </row>
    <row r="979" ht="15" customHeight="1">
      <c r="A979" s="27"/>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9"/>
    </row>
    <row r="980" ht="15" customHeight="1">
      <c r="A980" s="27"/>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9"/>
    </row>
    <row r="981" ht="15" customHeight="1">
      <c r="A981" s="27"/>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9"/>
    </row>
    <row r="982" ht="15" customHeight="1">
      <c r="A982" s="27"/>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9"/>
    </row>
    <row r="983" ht="15" customHeight="1">
      <c r="A983" s="27"/>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9"/>
    </row>
    <row r="984" ht="15" customHeight="1">
      <c r="A984" s="27"/>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9"/>
    </row>
    <row r="985" ht="15" customHeight="1">
      <c r="A985" s="27"/>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9"/>
    </row>
    <row r="986" ht="15" customHeight="1">
      <c r="A986" s="27"/>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9"/>
    </row>
    <row r="987" ht="15" customHeight="1">
      <c r="A987" s="27"/>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9"/>
    </row>
    <row r="988" ht="15" customHeight="1">
      <c r="A988" s="27"/>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9"/>
    </row>
    <row r="989" ht="15" customHeight="1">
      <c r="A989" s="27"/>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9"/>
    </row>
    <row r="990" ht="15" customHeight="1">
      <c r="A990" s="27"/>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9"/>
    </row>
    <row r="991" ht="15" customHeight="1">
      <c r="A991" s="27"/>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9"/>
    </row>
    <row r="992" ht="15" customHeight="1">
      <c r="A992" s="27"/>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9"/>
    </row>
    <row r="993" ht="15" customHeight="1">
      <c r="A993" s="27"/>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9"/>
    </row>
    <row r="994" ht="15" customHeight="1">
      <c r="A994" s="27"/>
      <c r="B994" s="18"/>
      <c r="C994" s="18"/>
      <c r="D994" s="18"/>
      <c r="E994" s="18"/>
      <c r="F994" s="18"/>
      <c r="G994" s="18"/>
      <c r="H994" s="18"/>
      <c r="I994" s="18"/>
      <c r="J994" s="18"/>
      <c r="K994" s="18"/>
      <c r="L994" s="18"/>
      <c r="M994" s="18"/>
      <c r="N994" s="18"/>
      <c r="O994" s="18"/>
      <c r="P994" s="18"/>
      <c r="Q994" s="18"/>
      <c r="R994" s="31"/>
      <c r="S994" s="18"/>
      <c r="T994" s="18"/>
      <c r="U994" s="18"/>
      <c r="V994" s="18"/>
      <c r="W994" s="18"/>
      <c r="X994" s="18"/>
      <c r="Y994" s="19"/>
    </row>
    <row r="995" ht="15" customHeight="1">
      <c r="A995" s="27"/>
      <c r="B995" s="18"/>
      <c r="C995" s="18"/>
      <c r="D995" s="18"/>
      <c r="E995" s="18"/>
      <c r="F995" s="18"/>
      <c r="G995" s="18"/>
      <c r="H995" s="18"/>
      <c r="I995" s="18"/>
      <c r="J995" s="18"/>
      <c r="K995" s="18"/>
      <c r="L995" s="18"/>
      <c r="M995" s="18"/>
      <c r="N995" s="18"/>
      <c r="O995" s="18"/>
      <c r="P995" s="18"/>
      <c r="Q995" s="18"/>
      <c r="R995" s="31"/>
      <c r="S995" s="18"/>
      <c r="T995" s="18"/>
      <c r="U995" s="18"/>
      <c r="V995" s="18"/>
      <c r="W995" s="18"/>
      <c r="X995" s="18"/>
      <c r="Y995" s="19"/>
    </row>
    <row r="996" ht="15" customHeight="1">
      <c r="A996" s="27"/>
      <c r="B996" s="18"/>
      <c r="C996" s="18"/>
      <c r="D996" s="18"/>
      <c r="E996" s="18"/>
      <c r="F996" s="18"/>
      <c r="G996" s="18"/>
      <c r="H996" s="18"/>
      <c r="I996" s="18"/>
      <c r="J996" s="18"/>
      <c r="K996" s="18"/>
      <c r="L996" s="18"/>
      <c r="M996" s="18"/>
      <c r="N996" s="18"/>
      <c r="O996" s="18"/>
      <c r="P996" s="18"/>
      <c r="Q996" s="18"/>
      <c r="R996" s="31"/>
      <c r="S996" s="18"/>
      <c r="T996" s="18"/>
      <c r="U996" s="18"/>
      <c r="V996" s="18"/>
      <c r="W996" s="18"/>
      <c r="X996" s="18"/>
      <c r="Y996" s="19"/>
    </row>
    <row r="997" ht="15" customHeight="1">
      <c r="A997" s="27"/>
      <c r="B997" s="18"/>
      <c r="C997" s="18"/>
      <c r="D997" s="18"/>
      <c r="E997" s="18"/>
      <c r="F997" s="18"/>
      <c r="G997" s="18"/>
      <c r="H997" s="18"/>
      <c r="I997" s="18"/>
      <c r="J997" s="18"/>
      <c r="K997" s="18"/>
      <c r="L997" s="18"/>
      <c r="M997" s="18"/>
      <c r="N997" s="18"/>
      <c r="O997" s="18"/>
      <c r="P997" s="18"/>
      <c r="Q997" s="18"/>
      <c r="R997" s="31"/>
      <c r="S997" s="18"/>
      <c r="T997" s="18"/>
      <c r="U997" s="18"/>
      <c r="V997" s="18"/>
      <c r="W997" s="18"/>
      <c r="X997" s="18"/>
      <c r="Y997" s="19"/>
    </row>
    <row r="998" ht="15" customHeight="1">
      <c r="A998" s="27"/>
      <c r="B998" s="18"/>
      <c r="C998" s="18"/>
      <c r="D998" s="18"/>
      <c r="E998" s="18"/>
      <c r="F998" s="18"/>
      <c r="G998" s="18"/>
      <c r="H998" s="18"/>
      <c r="I998" s="18"/>
      <c r="J998" s="18"/>
      <c r="K998" s="18"/>
      <c r="L998" s="18"/>
      <c r="M998" s="18"/>
      <c r="N998" s="18"/>
      <c r="O998" s="18"/>
      <c r="P998" s="18"/>
      <c r="Q998" s="18"/>
      <c r="R998" s="31"/>
      <c r="S998" s="18"/>
      <c r="T998" s="18"/>
      <c r="U998" s="18"/>
      <c r="V998" s="18"/>
      <c r="W998" s="18"/>
      <c r="X998" s="18"/>
      <c r="Y998" s="19"/>
    </row>
    <row r="999" ht="15" customHeight="1">
      <c r="A999" s="27"/>
      <c r="B999" s="18"/>
      <c r="C999" s="18"/>
      <c r="D999" s="18"/>
      <c r="E999" s="18"/>
      <c r="F999" s="18"/>
      <c r="G999" s="18"/>
      <c r="H999" s="18"/>
      <c r="I999" s="18"/>
      <c r="J999" s="18"/>
      <c r="K999" s="18"/>
      <c r="L999" s="18"/>
      <c r="M999" s="18"/>
      <c r="N999" s="18"/>
      <c r="O999" s="18"/>
      <c r="P999" s="18"/>
      <c r="Q999" s="18"/>
      <c r="R999" s="31"/>
      <c r="S999" s="18"/>
      <c r="T999" s="18"/>
      <c r="U999" s="18"/>
      <c r="V999" s="18"/>
      <c r="W999" s="18"/>
      <c r="X999" s="18"/>
      <c r="Y999" s="19"/>
    </row>
    <row r="1000" ht="15" customHeight="1">
      <c r="A1000" s="27"/>
      <c r="B1000" s="18"/>
      <c r="C1000" s="18"/>
      <c r="D1000" s="18"/>
      <c r="E1000" s="18"/>
      <c r="F1000" s="18"/>
      <c r="G1000" s="18"/>
      <c r="H1000" s="18"/>
      <c r="I1000" s="18"/>
      <c r="J1000" s="18"/>
      <c r="K1000" s="18"/>
      <c r="L1000" s="18"/>
      <c r="M1000" s="18"/>
      <c r="N1000" s="18"/>
      <c r="O1000" s="18"/>
      <c r="P1000" s="18"/>
      <c r="Q1000" s="18"/>
      <c r="R1000" s="31"/>
      <c r="S1000" s="18"/>
      <c r="T1000" s="18"/>
      <c r="U1000" s="18"/>
      <c r="V1000" s="18"/>
      <c r="W1000" s="18"/>
      <c r="X1000" s="18"/>
      <c r="Y1000" s="19"/>
    </row>
    <row r="1001" ht="15" customHeight="1">
      <c r="A1001" s="27"/>
      <c r="B1001" s="18"/>
      <c r="C1001" s="18"/>
      <c r="D1001" s="18"/>
      <c r="E1001" s="18"/>
      <c r="F1001" s="18"/>
      <c r="G1001" s="18"/>
      <c r="H1001" s="18"/>
      <c r="I1001" s="18"/>
      <c r="J1001" s="18"/>
      <c r="K1001" s="18"/>
      <c r="L1001" s="18"/>
      <c r="M1001" s="18"/>
      <c r="N1001" s="18"/>
      <c r="O1001" s="18"/>
      <c r="P1001" s="18"/>
      <c r="Q1001" s="18"/>
      <c r="R1001" s="31"/>
      <c r="S1001" s="18"/>
      <c r="T1001" s="18"/>
      <c r="U1001" s="18"/>
      <c r="V1001" s="18"/>
      <c r="W1001" s="18"/>
      <c r="X1001" s="18"/>
      <c r="Y1001" s="19"/>
    </row>
    <row r="1002" ht="15" customHeight="1">
      <c r="A1002" s="27"/>
      <c r="B1002" s="18"/>
      <c r="C1002" s="18"/>
      <c r="D1002" s="18"/>
      <c r="E1002" s="18"/>
      <c r="F1002" s="18"/>
      <c r="G1002" s="18"/>
      <c r="H1002" s="18"/>
      <c r="I1002" s="18"/>
      <c r="J1002" s="18"/>
      <c r="K1002" s="18"/>
      <c r="L1002" s="18"/>
      <c r="M1002" s="18"/>
      <c r="N1002" s="18"/>
      <c r="O1002" s="18"/>
      <c r="P1002" s="18"/>
      <c r="Q1002" s="18"/>
      <c r="R1002" s="31"/>
      <c r="S1002" s="18"/>
      <c r="T1002" s="18"/>
      <c r="U1002" s="18"/>
      <c r="V1002" s="18"/>
      <c r="W1002" s="18"/>
      <c r="X1002" s="18"/>
      <c r="Y1002" s="19"/>
    </row>
    <row r="1003" ht="15" customHeight="1">
      <c r="A1003" s="27"/>
      <c r="B1003" s="18"/>
      <c r="C1003" s="18"/>
      <c r="D1003" s="18"/>
      <c r="E1003" s="18"/>
      <c r="F1003" s="18"/>
      <c r="G1003" s="18"/>
      <c r="H1003" s="18"/>
      <c r="I1003" s="18"/>
      <c r="J1003" s="18"/>
      <c r="K1003" s="18"/>
      <c r="L1003" s="18"/>
      <c r="M1003" s="18"/>
      <c r="N1003" s="18"/>
      <c r="O1003" s="18"/>
      <c r="P1003" s="18"/>
      <c r="Q1003" s="18"/>
      <c r="R1003" s="31"/>
      <c r="S1003" s="18"/>
      <c r="T1003" s="18"/>
      <c r="U1003" s="18"/>
      <c r="V1003" s="18"/>
      <c r="W1003" s="18"/>
      <c r="X1003" s="18"/>
      <c r="Y1003" s="19"/>
    </row>
    <row r="1004" ht="15" customHeight="1">
      <c r="A1004" s="27"/>
      <c r="B1004" s="18"/>
      <c r="C1004" s="18"/>
      <c r="D1004" s="18"/>
      <c r="E1004" s="18"/>
      <c r="F1004" s="18"/>
      <c r="G1004" s="18"/>
      <c r="H1004" s="18"/>
      <c r="I1004" s="18"/>
      <c r="J1004" s="18"/>
      <c r="K1004" s="18"/>
      <c r="L1004" s="18"/>
      <c r="M1004" s="18"/>
      <c r="N1004" s="18"/>
      <c r="O1004" s="18"/>
      <c r="P1004" s="18"/>
      <c r="Q1004" s="18"/>
      <c r="R1004" s="31"/>
      <c r="S1004" s="18"/>
      <c r="T1004" s="18"/>
      <c r="U1004" s="18"/>
      <c r="V1004" s="18"/>
      <c r="W1004" s="18"/>
      <c r="X1004" s="18"/>
      <c r="Y1004" s="19"/>
    </row>
    <row r="1005" ht="15" customHeight="1">
      <c r="A1005" s="27"/>
      <c r="B1005" s="18"/>
      <c r="C1005" s="18"/>
      <c r="D1005" s="18"/>
      <c r="E1005" s="18"/>
      <c r="F1005" s="18"/>
      <c r="G1005" s="18"/>
      <c r="H1005" s="18"/>
      <c r="I1005" s="18"/>
      <c r="J1005" s="18"/>
      <c r="K1005" s="18"/>
      <c r="L1005" s="18"/>
      <c r="M1005" s="18"/>
      <c r="N1005" s="18"/>
      <c r="O1005" s="18"/>
      <c r="P1005" s="18"/>
      <c r="Q1005" s="18"/>
      <c r="R1005" s="31"/>
      <c r="S1005" s="18"/>
      <c r="T1005" s="18"/>
      <c r="U1005" s="18"/>
      <c r="V1005" s="18"/>
      <c r="W1005" s="18"/>
      <c r="X1005" s="18"/>
      <c r="Y1005" s="19"/>
    </row>
    <row r="1006" ht="15" customHeight="1">
      <c r="A1006" s="27"/>
      <c r="B1006" s="18"/>
      <c r="C1006" s="18"/>
      <c r="D1006" s="18"/>
      <c r="E1006" s="18"/>
      <c r="F1006" s="18"/>
      <c r="G1006" s="18"/>
      <c r="H1006" s="18"/>
      <c r="I1006" s="18"/>
      <c r="J1006" s="18"/>
      <c r="K1006" s="18"/>
      <c r="L1006" s="18"/>
      <c r="M1006" s="18"/>
      <c r="N1006" s="18"/>
      <c r="O1006" s="18"/>
      <c r="P1006" s="18"/>
      <c r="Q1006" s="18"/>
      <c r="R1006" s="31"/>
      <c r="S1006" s="18"/>
      <c r="T1006" s="18"/>
      <c r="U1006" s="18"/>
      <c r="V1006" s="18"/>
      <c r="W1006" s="18"/>
      <c r="X1006" s="18"/>
      <c r="Y1006" s="19"/>
    </row>
    <row r="1007" ht="15" customHeight="1">
      <c r="A1007" s="27"/>
      <c r="B1007" s="18"/>
      <c r="C1007" s="18"/>
      <c r="D1007" s="18"/>
      <c r="E1007" s="18"/>
      <c r="F1007" s="18"/>
      <c r="G1007" s="18"/>
      <c r="H1007" s="18"/>
      <c r="I1007" s="18"/>
      <c r="J1007" s="18"/>
      <c r="K1007" s="18"/>
      <c r="L1007" s="18"/>
      <c r="M1007" s="18"/>
      <c r="N1007" s="18"/>
      <c r="O1007" s="18"/>
      <c r="P1007" s="18"/>
      <c r="Q1007" s="18"/>
      <c r="R1007" s="31"/>
      <c r="S1007" s="18"/>
      <c r="T1007" s="18"/>
      <c r="U1007" s="18"/>
      <c r="V1007" s="18"/>
      <c r="W1007" s="18"/>
      <c r="X1007" s="18"/>
      <c r="Y1007" s="19"/>
    </row>
    <row r="1008" ht="15" customHeight="1">
      <c r="A1008" s="27"/>
      <c r="B1008" s="18"/>
      <c r="C1008" s="18"/>
      <c r="D1008" s="18"/>
      <c r="E1008" s="18"/>
      <c r="F1008" s="18"/>
      <c r="G1008" s="18"/>
      <c r="H1008" s="18"/>
      <c r="I1008" s="18"/>
      <c r="J1008" s="18"/>
      <c r="K1008" s="18"/>
      <c r="L1008" s="18"/>
      <c r="M1008" s="18"/>
      <c r="N1008" s="18"/>
      <c r="O1008" s="18"/>
      <c r="P1008" s="18"/>
      <c r="Q1008" s="18"/>
      <c r="R1008" s="31"/>
      <c r="S1008" s="18"/>
      <c r="T1008" s="18"/>
      <c r="U1008" s="18"/>
      <c r="V1008" s="18"/>
      <c r="W1008" s="18"/>
      <c r="X1008" s="18"/>
      <c r="Y1008" s="19"/>
    </row>
    <row r="1009" ht="15" customHeight="1">
      <c r="A1009" s="27"/>
      <c r="B1009" s="18"/>
      <c r="C1009" s="18"/>
      <c r="D1009" s="18"/>
      <c r="E1009" s="18"/>
      <c r="F1009" s="18"/>
      <c r="G1009" s="18"/>
      <c r="H1009" s="18"/>
      <c r="I1009" s="18"/>
      <c r="J1009" s="18"/>
      <c r="K1009" s="18"/>
      <c r="L1009" s="18"/>
      <c r="M1009" s="18"/>
      <c r="N1009" s="18"/>
      <c r="O1009" s="18"/>
      <c r="P1009" s="18"/>
      <c r="Q1009" s="18"/>
      <c r="R1009" s="31"/>
      <c r="S1009" s="18"/>
      <c r="T1009" s="18"/>
      <c r="U1009" s="18"/>
      <c r="V1009" s="18"/>
      <c r="W1009" s="18"/>
      <c r="X1009" s="18"/>
      <c r="Y1009" s="19"/>
    </row>
    <row r="1010" ht="15" customHeight="1">
      <c r="A1010" s="27"/>
      <c r="B1010" s="18"/>
      <c r="C1010" s="18"/>
      <c r="D1010" s="18"/>
      <c r="E1010" s="18"/>
      <c r="F1010" s="18"/>
      <c r="G1010" s="18"/>
      <c r="H1010" s="18"/>
      <c r="I1010" s="18"/>
      <c r="J1010" s="18"/>
      <c r="K1010" s="18"/>
      <c r="L1010" s="18"/>
      <c r="M1010" s="18"/>
      <c r="N1010" s="18"/>
      <c r="O1010" s="18"/>
      <c r="P1010" s="18"/>
      <c r="Q1010" s="18"/>
      <c r="R1010" s="31"/>
      <c r="S1010" s="18"/>
      <c r="T1010" s="18"/>
      <c r="U1010" s="18"/>
      <c r="V1010" s="18"/>
      <c r="W1010" s="18"/>
      <c r="X1010" s="18"/>
      <c r="Y1010" s="19"/>
    </row>
    <row r="1011" ht="15" customHeight="1">
      <c r="A1011" s="27"/>
      <c r="B1011" s="18"/>
      <c r="C1011" s="18"/>
      <c r="D1011" s="18"/>
      <c r="E1011" s="18"/>
      <c r="F1011" s="18"/>
      <c r="G1011" s="18"/>
      <c r="H1011" s="18"/>
      <c r="I1011" s="18"/>
      <c r="J1011" s="18"/>
      <c r="K1011" s="18"/>
      <c r="L1011" s="18"/>
      <c r="M1011" s="18"/>
      <c r="N1011" s="18"/>
      <c r="O1011" s="18"/>
      <c r="P1011" s="18"/>
      <c r="Q1011" s="18"/>
      <c r="R1011" s="31"/>
      <c r="S1011" s="18"/>
      <c r="T1011" s="18"/>
      <c r="U1011" s="18"/>
      <c r="V1011" s="18"/>
      <c r="W1011" s="18"/>
      <c r="X1011" s="18"/>
      <c r="Y1011" s="19"/>
    </row>
    <row r="1012" ht="15" customHeight="1">
      <c r="A1012" s="27"/>
      <c r="B1012" s="18"/>
      <c r="C1012" s="18"/>
      <c r="D1012" s="18"/>
      <c r="E1012" s="18"/>
      <c r="F1012" s="18"/>
      <c r="G1012" s="18"/>
      <c r="H1012" s="18"/>
      <c r="I1012" s="18"/>
      <c r="J1012" s="18"/>
      <c r="K1012" s="18"/>
      <c r="L1012" s="18"/>
      <c r="M1012" s="18"/>
      <c r="N1012" s="18"/>
      <c r="O1012" s="18"/>
      <c r="P1012" s="18"/>
      <c r="Q1012" s="18"/>
      <c r="R1012" s="31"/>
      <c r="S1012" s="18"/>
      <c r="T1012" s="18"/>
      <c r="U1012" s="18"/>
      <c r="V1012" s="18"/>
      <c r="W1012" s="18"/>
      <c r="X1012" s="18"/>
      <c r="Y1012" s="19"/>
    </row>
    <row r="1013" ht="15" customHeight="1">
      <c r="A1013" s="27"/>
      <c r="B1013" s="18"/>
      <c r="C1013" s="18"/>
      <c r="D1013" s="18"/>
      <c r="E1013" s="18"/>
      <c r="F1013" s="18"/>
      <c r="G1013" s="18"/>
      <c r="H1013" s="18"/>
      <c r="I1013" s="18"/>
      <c r="J1013" s="18"/>
      <c r="K1013" s="18"/>
      <c r="L1013" s="18"/>
      <c r="M1013" s="18"/>
      <c r="N1013" s="18"/>
      <c r="O1013" s="18"/>
      <c r="P1013" s="18"/>
      <c r="Q1013" s="18"/>
      <c r="R1013" s="31"/>
      <c r="S1013" s="18"/>
      <c r="T1013" s="18"/>
      <c r="U1013" s="18"/>
      <c r="V1013" s="18"/>
      <c r="W1013" s="18"/>
      <c r="X1013" s="18"/>
      <c r="Y1013" s="19"/>
    </row>
    <row r="1014" ht="15" customHeight="1">
      <c r="A1014" s="27"/>
      <c r="B1014" s="18"/>
      <c r="C1014" s="18"/>
      <c r="D1014" s="18"/>
      <c r="E1014" s="18"/>
      <c r="F1014" s="18"/>
      <c r="G1014" s="18"/>
      <c r="H1014" s="18"/>
      <c r="I1014" s="18"/>
      <c r="J1014" s="18"/>
      <c r="K1014" s="18"/>
      <c r="L1014" s="18"/>
      <c r="M1014" s="18"/>
      <c r="N1014" s="18"/>
      <c r="O1014" s="18"/>
      <c r="P1014" s="18"/>
      <c r="Q1014" s="18"/>
      <c r="R1014" s="31"/>
      <c r="S1014" s="18"/>
      <c r="T1014" s="18"/>
      <c r="U1014" s="18"/>
      <c r="V1014" s="18"/>
      <c r="W1014" s="18"/>
      <c r="X1014" s="18"/>
      <c r="Y1014" s="19"/>
    </row>
    <row r="1015" ht="15" customHeight="1">
      <c r="A1015" s="27"/>
      <c r="B1015" s="18"/>
      <c r="C1015" s="18"/>
      <c r="D1015" s="18"/>
      <c r="E1015" s="18"/>
      <c r="F1015" s="18"/>
      <c r="G1015" s="18"/>
      <c r="H1015" s="18"/>
      <c r="I1015" s="18"/>
      <c r="J1015" s="18"/>
      <c r="K1015" s="18"/>
      <c r="L1015" s="18"/>
      <c r="M1015" s="18"/>
      <c r="N1015" s="18"/>
      <c r="O1015" s="18"/>
      <c r="P1015" s="18"/>
      <c r="Q1015" s="18"/>
      <c r="R1015" s="31"/>
      <c r="S1015" s="18"/>
      <c r="T1015" s="18"/>
      <c r="U1015" s="18"/>
      <c r="V1015" s="18"/>
      <c r="W1015" s="18"/>
      <c r="X1015" s="18"/>
      <c r="Y1015" s="19"/>
    </row>
    <row r="1016" ht="15" customHeight="1">
      <c r="A1016" s="27"/>
      <c r="B1016" s="18"/>
      <c r="C1016" s="18"/>
      <c r="D1016" s="18"/>
      <c r="E1016" s="18"/>
      <c r="F1016" s="18"/>
      <c r="G1016" s="18"/>
      <c r="H1016" s="18"/>
      <c r="I1016" s="18"/>
      <c r="J1016" s="18"/>
      <c r="K1016" s="18"/>
      <c r="L1016" s="18"/>
      <c r="M1016" s="18"/>
      <c r="N1016" s="18"/>
      <c r="O1016" s="18"/>
      <c r="P1016" s="18"/>
      <c r="Q1016" s="18"/>
      <c r="R1016" s="31"/>
      <c r="S1016" s="18"/>
      <c r="T1016" s="18"/>
      <c r="U1016" s="18"/>
      <c r="V1016" s="18"/>
      <c r="W1016" s="18"/>
      <c r="X1016" s="18"/>
      <c r="Y1016" s="19"/>
    </row>
    <row r="1017" ht="15" customHeight="1">
      <c r="A1017" s="27"/>
      <c r="B1017" s="18"/>
      <c r="C1017" s="18"/>
      <c r="D1017" s="18"/>
      <c r="E1017" s="18"/>
      <c r="F1017" s="18"/>
      <c r="G1017" s="18"/>
      <c r="H1017" s="18"/>
      <c r="I1017" s="18"/>
      <c r="J1017" s="18"/>
      <c r="K1017" s="18"/>
      <c r="L1017" s="18"/>
      <c r="M1017" s="18"/>
      <c r="N1017" s="18"/>
      <c r="O1017" s="18"/>
      <c r="P1017" s="18"/>
      <c r="Q1017" s="18"/>
      <c r="R1017" s="31"/>
      <c r="S1017" s="18"/>
      <c r="T1017" s="18"/>
      <c r="U1017" s="18"/>
      <c r="V1017" s="18"/>
      <c r="W1017" s="18"/>
      <c r="X1017" s="18"/>
      <c r="Y1017" s="19"/>
    </row>
    <row r="1018" ht="15" customHeight="1">
      <c r="A1018" s="27"/>
      <c r="B1018" s="18"/>
      <c r="C1018" s="18"/>
      <c r="D1018" s="18"/>
      <c r="E1018" s="18"/>
      <c r="F1018" s="18"/>
      <c r="G1018" s="18"/>
      <c r="H1018" s="18"/>
      <c r="I1018" s="18"/>
      <c r="J1018" s="18"/>
      <c r="K1018" s="18"/>
      <c r="L1018" s="18"/>
      <c r="M1018" s="18"/>
      <c r="N1018" s="18"/>
      <c r="O1018" s="18"/>
      <c r="P1018" s="18"/>
      <c r="Q1018" s="18"/>
      <c r="R1018" s="31"/>
      <c r="S1018" s="18"/>
      <c r="T1018" s="18"/>
      <c r="U1018" s="18"/>
      <c r="V1018" s="18"/>
      <c r="W1018" s="18"/>
      <c r="X1018" s="18"/>
      <c r="Y1018" s="19"/>
    </row>
    <row r="1019" ht="15" customHeight="1">
      <c r="A1019" s="103"/>
      <c r="B1019" s="18"/>
      <c r="C1019" s="31"/>
      <c r="D1019" s="18"/>
      <c r="E1019" s="18"/>
      <c r="F1019" s="18"/>
      <c r="G1019" s="18"/>
      <c r="H1019" s="18"/>
      <c r="I1019" s="18"/>
      <c r="J1019" s="18"/>
      <c r="K1019" s="18"/>
      <c r="L1019" s="18"/>
      <c r="M1019" s="18"/>
      <c r="N1019" s="18"/>
      <c r="O1019" s="18"/>
      <c r="P1019" s="31"/>
      <c r="Q1019" s="18"/>
      <c r="R1019" s="31"/>
      <c r="S1019" s="31"/>
      <c r="T1019" s="31"/>
      <c r="U1019" s="31"/>
      <c r="V1019" s="31"/>
      <c r="W1019" s="31"/>
      <c r="X1019" s="31"/>
      <c r="Y1019" s="45"/>
    </row>
    <row r="1020" ht="15" customHeight="1">
      <c r="A1020" s="103"/>
      <c r="B1020" s="18"/>
      <c r="C1020" s="31"/>
      <c r="D1020" s="18"/>
      <c r="E1020" s="18"/>
      <c r="F1020" s="18"/>
      <c r="G1020" s="18"/>
      <c r="H1020" s="18"/>
      <c r="I1020" s="18"/>
      <c r="J1020" s="18"/>
      <c r="K1020" s="18"/>
      <c r="L1020" s="18"/>
      <c r="M1020" s="18"/>
      <c r="N1020" s="18"/>
      <c r="O1020" s="18"/>
      <c r="P1020" s="31"/>
      <c r="Q1020" s="18"/>
      <c r="R1020" s="31"/>
      <c r="S1020" s="31"/>
      <c r="T1020" s="31"/>
      <c r="U1020" s="31"/>
      <c r="V1020" s="31"/>
      <c r="W1020" s="31"/>
      <c r="X1020" s="31"/>
      <c r="Y1020" s="45"/>
    </row>
    <row r="1021" ht="15" customHeight="1">
      <c r="A1021" s="103"/>
      <c r="B1021" s="18"/>
      <c r="C1021" s="31"/>
      <c r="D1021" s="18"/>
      <c r="E1021" s="18"/>
      <c r="F1021" s="18"/>
      <c r="G1021" s="18"/>
      <c r="H1021" s="18"/>
      <c r="I1021" s="18"/>
      <c r="J1021" s="18"/>
      <c r="K1021" s="18"/>
      <c r="L1021" s="18"/>
      <c r="M1021" s="18"/>
      <c r="N1021" s="18"/>
      <c r="O1021" s="18"/>
      <c r="P1021" s="31"/>
      <c r="Q1021" s="18"/>
      <c r="R1021" s="31"/>
      <c r="S1021" s="31"/>
      <c r="T1021" s="31"/>
      <c r="U1021" s="31"/>
      <c r="V1021" s="31"/>
      <c r="W1021" s="31"/>
      <c r="X1021" s="31"/>
      <c r="Y1021" s="45"/>
    </row>
    <row r="1022" ht="15" customHeight="1">
      <c r="A1022" s="103"/>
      <c r="B1022" s="18"/>
      <c r="C1022" s="31"/>
      <c r="D1022" s="18"/>
      <c r="E1022" s="18"/>
      <c r="F1022" s="18"/>
      <c r="G1022" s="18"/>
      <c r="H1022" s="18"/>
      <c r="I1022" s="18"/>
      <c r="J1022" s="18"/>
      <c r="K1022" s="18"/>
      <c r="L1022" s="18"/>
      <c r="M1022" s="18"/>
      <c r="N1022" s="18"/>
      <c r="O1022" s="18"/>
      <c r="P1022" s="31"/>
      <c r="Q1022" s="18"/>
      <c r="R1022" s="31"/>
      <c r="S1022" s="31"/>
      <c r="T1022" s="31"/>
      <c r="U1022" s="31"/>
      <c r="V1022" s="31"/>
      <c r="W1022" s="31"/>
      <c r="X1022" s="31"/>
      <c r="Y1022" s="45"/>
    </row>
    <row r="1023" ht="15" customHeight="1">
      <c r="A1023" s="103"/>
      <c r="B1023" s="18"/>
      <c r="C1023" s="31"/>
      <c r="D1023" s="18"/>
      <c r="E1023" s="18"/>
      <c r="F1023" s="18"/>
      <c r="G1023" s="18"/>
      <c r="H1023" s="18"/>
      <c r="I1023" s="18"/>
      <c r="J1023" s="18"/>
      <c r="K1023" s="18"/>
      <c r="L1023" s="18"/>
      <c r="M1023" s="18"/>
      <c r="N1023" s="18"/>
      <c r="O1023" s="18"/>
      <c r="P1023" s="31"/>
      <c r="Q1023" s="18"/>
      <c r="R1023" s="31"/>
      <c r="S1023" s="31"/>
      <c r="T1023" s="31"/>
      <c r="U1023" s="31"/>
      <c r="V1023" s="31"/>
      <c r="W1023" s="31"/>
      <c r="X1023" s="31"/>
      <c r="Y1023" s="45"/>
    </row>
    <row r="1024" ht="15" customHeight="1">
      <c r="A1024" s="103"/>
      <c r="B1024" s="18"/>
      <c r="C1024" s="31"/>
      <c r="D1024" s="18"/>
      <c r="E1024" s="18"/>
      <c r="F1024" s="18"/>
      <c r="G1024" s="18"/>
      <c r="H1024" s="18"/>
      <c r="I1024" s="18"/>
      <c r="J1024" s="18"/>
      <c r="K1024" s="18"/>
      <c r="L1024" s="18"/>
      <c r="M1024" s="18"/>
      <c r="N1024" s="18"/>
      <c r="O1024" s="18"/>
      <c r="P1024" s="31"/>
      <c r="Q1024" s="18"/>
      <c r="R1024" s="31"/>
      <c r="S1024" s="31"/>
      <c r="T1024" s="31"/>
      <c r="U1024" s="31"/>
      <c r="V1024" s="31"/>
      <c r="W1024" s="31"/>
      <c r="X1024" s="31"/>
      <c r="Y1024" s="45"/>
    </row>
    <row r="1025" ht="15" customHeight="1">
      <c r="A1025" s="103"/>
      <c r="B1025" s="18"/>
      <c r="C1025" s="31"/>
      <c r="D1025" s="18"/>
      <c r="E1025" s="18"/>
      <c r="F1025" s="18"/>
      <c r="G1025" s="18"/>
      <c r="H1025" s="18"/>
      <c r="I1025" s="18"/>
      <c r="J1025" s="18"/>
      <c r="K1025" s="18"/>
      <c r="L1025" s="18"/>
      <c r="M1025" s="18"/>
      <c r="N1025" s="18"/>
      <c r="O1025" s="18"/>
      <c r="P1025" s="31"/>
      <c r="Q1025" s="18"/>
      <c r="R1025" s="31"/>
      <c r="S1025" s="31"/>
      <c r="T1025" s="31"/>
      <c r="U1025" s="31"/>
      <c r="V1025" s="31"/>
      <c r="W1025" s="31"/>
      <c r="X1025" s="31"/>
      <c r="Y1025" s="45"/>
    </row>
    <row r="1026" ht="15" customHeight="1">
      <c r="A1026" s="103"/>
      <c r="B1026" s="18"/>
      <c r="C1026" s="31"/>
      <c r="D1026" s="18"/>
      <c r="E1026" s="18"/>
      <c r="F1026" s="18"/>
      <c r="G1026" s="18"/>
      <c r="H1026" s="18"/>
      <c r="I1026" s="18"/>
      <c r="J1026" s="18"/>
      <c r="K1026" s="18"/>
      <c r="L1026" s="18"/>
      <c r="M1026" s="18"/>
      <c r="N1026" s="18"/>
      <c r="O1026" s="18"/>
      <c r="P1026" s="31"/>
      <c r="Q1026" s="18"/>
      <c r="R1026" s="31"/>
      <c r="S1026" s="31"/>
      <c r="T1026" s="31"/>
      <c r="U1026" s="31"/>
      <c r="V1026" s="31"/>
      <c r="W1026" s="31"/>
      <c r="X1026" s="31"/>
      <c r="Y1026" s="45"/>
    </row>
    <row r="1027" ht="15" customHeight="1">
      <c r="A1027" s="103"/>
      <c r="B1027" s="18"/>
      <c r="C1027" s="31"/>
      <c r="D1027" s="18"/>
      <c r="E1027" s="18"/>
      <c r="F1027" s="18"/>
      <c r="G1027" s="18"/>
      <c r="H1027" s="18"/>
      <c r="I1027" s="18"/>
      <c r="J1027" s="18"/>
      <c r="K1027" s="18"/>
      <c r="L1027" s="18"/>
      <c r="M1027" s="18"/>
      <c r="N1027" s="18"/>
      <c r="O1027" s="18"/>
      <c r="P1027" s="31"/>
      <c r="Q1027" s="18"/>
      <c r="R1027" s="31"/>
      <c r="S1027" s="31"/>
      <c r="T1027" s="31"/>
      <c r="U1027" s="31"/>
      <c r="V1027" s="31"/>
      <c r="W1027" s="31"/>
      <c r="X1027" s="31"/>
      <c r="Y1027" s="45"/>
    </row>
    <row r="1028" ht="15" customHeight="1">
      <c r="A1028" s="103"/>
      <c r="B1028" s="18"/>
      <c r="C1028" s="31"/>
      <c r="D1028" s="18"/>
      <c r="E1028" s="18"/>
      <c r="F1028" s="18"/>
      <c r="G1028" s="18"/>
      <c r="H1028" s="18"/>
      <c r="I1028" s="18"/>
      <c r="J1028" s="18"/>
      <c r="K1028" s="18"/>
      <c r="L1028" s="18"/>
      <c r="M1028" s="18"/>
      <c r="N1028" s="18"/>
      <c r="O1028" s="18"/>
      <c r="P1028" s="31"/>
      <c r="Q1028" s="18"/>
      <c r="R1028" s="31"/>
      <c r="S1028" s="31"/>
      <c r="T1028" s="31"/>
      <c r="U1028" s="31"/>
      <c r="V1028" s="31"/>
      <c r="W1028" s="31"/>
      <c r="X1028" s="31"/>
      <c r="Y1028" s="45"/>
    </row>
    <row r="1029" ht="15" customHeight="1">
      <c r="A1029" s="103"/>
      <c r="B1029" s="18"/>
      <c r="C1029" s="31"/>
      <c r="D1029" s="18"/>
      <c r="E1029" s="18"/>
      <c r="F1029" s="18"/>
      <c r="G1029" s="18"/>
      <c r="H1029" s="18"/>
      <c r="I1029" s="18"/>
      <c r="J1029" s="18"/>
      <c r="K1029" s="18"/>
      <c r="L1029" s="18"/>
      <c r="M1029" s="18"/>
      <c r="N1029" s="18"/>
      <c r="O1029" s="18"/>
      <c r="P1029" s="31"/>
      <c r="Q1029" s="18"/>
      <c r="R1029" s="31"/>
      <c r="S1029" s="31"/>
      <c r="T1029" s="31"/>
      <c r="U1029" s="31"/>
      <c r="V1029" s="31"/>
      <c r="W1029" s="31"/>
      <c r="X1029" s="31"/>
      <c r="Y1029" s="45"/>
    </row>
    <row r="1030" ht="15" customHeight="1">
      <c r="A1030" s="103"/>
      <c r="B1030" s="18"/>
      <c r="C1030" s="31"/>
      <c r="D1030" s="18"/>
      <c r="E1030" s="18"/>
      <c r="F1030" s="18"/>
      <c r="G1030" s="18"/>
      <c r="H1030" s="18"/>
      <c r="I1030" s="18"/>
      <c r="J1030" s="18"/>
      <c r="K1030" s="18"/>
      <c r="L1030" s="18"/>
      <c r="M1030" s="18"/>
      <c r="N1030" s="18"/>
      <c r="O1030" s="18"/>
      <c r="P1030" s="31"/>
      <c r="Q1030" s="18"/>
      <c r="R1030" s="31"/>
      <c r="S1030" s="31"/>
      <c r="T1030" s="31"/>
      <c r="U1030" s="31"/>
      <c r="V1030" s="31"/>
      <c r="W1030" s="31"/>
      <c r="X1030" s="31"/>
      <c r="Y1030" s="45"/>
    </row>
    <row r="1031" ht="15" customHeight="1">
      <c r="A1031" s="103"/>
      <c r="B1031" s="18"/>
      <c r="C1031" s="31"/>
      <c r="D1031" s="18"/>
      <c r="E1031" s="18"/>
      <c r="F1031" s="18"/>
      <c r="G1031" s="18"/>
      <c r="H1031" s="18"/>
      <c r="I1031" s="18"/>
      <c r="J1031" s="18"/>
      <c r="K1031" s="18"/>
      <c r="L1031" s="18"/>
      <c r="M1031" s="18"/>
      <c r="N1031" s="18"/>
      <c r="O1031" s="18"/>
      <c r="P1031" s="31"/>
      <c r="Q1031" s="18"/>
      <c r="R1031" s="31"/>
      <c r="S1031" s="31"/>
      <c r="T1031" s="31"/>
      <c r="U1031" s="31"/>
      <c r="V1031" s="31"/>
      <c r="W1031" s="31"/>
      <c r="X1031" s="31"/>
      <c r="Y1031" s="45"/>
    </row>
    <row r="1032" ht="15" customHeight="1">
      <c r="A1032" s="103"/>
      <c r="B1032" s="18"/>
      <c r="C1032" s="31"/>
      <c r="D1032" s="18"/>
      <c r="E1032" s="18"/>
      <c r="F1032" s="18"/>
      <c r="G1032" s="18"/>
      <c r="H1032" s="18"/>
      <c r="I1032" s="18"/>
      <c r="J1032" s="18"/>
      <c r="K1032" s="18"/>
      <c r="L1032" s="18"/>
      <c r="M1032" s="18"/>
      <c r="N1032" s="18"/>
      <c r="O1032" s="18"/>
      <c r="P1032" s="31"/>
      <c r="Q1032" s="18"/>
      <c r="R1032" s="31"/>
      <c r="S1032" s="31"/>
      <c r="T1032" s="31"/>
      <c r="U1032" s="31"/>
      <c r="V1032" s="31"/>
      <c r="W1032" s="31"/>
      <c r="X1032" s="31"/>
      <c r="Y1032" s="45"/>
    </row>
    <row r="1033" ht="15" customHeight="1">
      <c r="A1033" s="103"/>
      <c r="B1033" s="18"/>
      <c r="C1033" s="31"/>
      <c r="D1033" s="18"/>
      <c r="E1033" s="18"/>
      <c r="F1033" s="18"/>
      <c r="G1033" s="18"/>
      <c r="H1033" s="18"/>
      <c r="I1033" s="18"/>
      <c r="J1033" s="18"/>
      <c r="K1033" s="18"/>
      <c r="L1033" s="18"/>
      <c r="M1033" s="18"/>
      <c r="N1033" s="18"/>
      <c r="O1033" s="18"/>
      <c r="P1033" s="31"/>
      <c r="Q1033" s="18"/>
      <c r="R1033" s="31"/>
      <c r="S1033" s="31"/>
      <c r="T1033" s="31"/>
      <c r="U1033" s="31"/>
      <c r="V1033" s="31"/>
      <c r="W1033" s="31"/>
      <c r="X1033" s="31"/>
      <c r="Y1033" s="45"/>
    </row>
    <row r="1034" ht="15" customHeight="1">
      <c r="A1034" s="103"/>
      <c r="B1034" s="18"/>
      <c r="C1034" s="31"/>
      <c r="D1034" s="18"/>
      <c r="E1034" s="18"/>
      <c r="F1034" s="18"/>
      <c r="G1034" s="18"/>
      <c r="H1034" s="18"/>
      <c r="I1034" s="18"/>
      <c r="J1034" s="18"/>
      <c r="K1034" s="18"/>
      <c r="L1034" s="18"/>
      <c r="M1034" s="18"/>
      <c r="N1034" s="18"/>
      <c r="O1034" s="18"/>
      <c r="P1034" s="31"/>
      <c r="Q1034" s="18"/>
      <c r="R1034" s="31"/>
      <c r="S1034" s="31"/>
      <c r="T1034" s="31"/>
      <c r="U1034" s="31"/>
      <c r="V1034" s="31"/>
      <c r="W1034" s="31"/>
      <c r="X1034" s="31"/>
      <c r="Y1034" s="45"/>
    </row>
    <row r="1035" ht="15" customHeight="1">
      <c r="A1035" s="103"/>
      <c r="B1035" s="18"/>
      <c r="C1035" s="31"/>
      <c r="D1035" s="18"/>
      <c r="E1035" s="18"/>
      <c r="F1035" s="18"/>
      <c r="G1035" s="18"/>
      <c r="H1035" s="18"/>
      <c r="I1035" s="18"/>
      <c r="J1035" s="18"/>
      <c r="K1035" s="18"/>
      <c r="L1035" s="18"/>
      <c r="M1035" s="18"/>
      <c r="N1035" s="18"/>
      <c r="O1035" s="18"/>
      <c r="P1035" s="31"/>
      <c r="Q1035" s="18"/>
      <c r="R1035" s="31"/>
      <c r="S1035" s="31"/>
      <c r="T1035" s="31"/>
      <c r="U1035" s="31"/>
      <c r="V1035" s="31"/>
      <c r="W1035" s="31"/>
      <c r="X1035" s="31"/>
      <c r="Y1035" s="45"/>
    </row>
    <row r="1036" ht="15" customHeight="1">
      <c r="A1036" s="103"/>
      <c r="B1036" s="18"/>
      <c r="C1036" s="31"/>
      <c r="D1036" s="18"/>
      <c r="E1036" s="18"/>
      <c r="F1036" s="18"/>
      <c r="G1036" s="18"/>
      <c r="H1036" s="18"/>
      <c r="I1036" s="18"/>
      <c r="J1036" s="18"/>
      <c r="K1036" s="18"/>
      <c r="L1036" s="18"/>
      <c r="M1036" s="18"/>
      <c r="N1036" s="18"/>
      <c r="O1036" s="18"/>
      <c r="P1036" s="31"/>
      <c r="Q1036" s="18"/>
      <c r="R1036" s="31"/>
      <c r="S1036" s="31"/>
      <c r="T1036" s="31"/>
      <c r="U1036" s="31"/>
      <c r="V1036" s="31"/>
      <c r="W1036" s="31"/>
      <c r="X1036" s="31"/>
      <c r="Y1036" s="45"/>
    </row>
    <row r="1037" ht="15" customHeight="1">
      <c r="A1037" s="103"/>
      <c r="B1037" s="18"/>
      <c r="C1037" s="31"/>
      <c r="D1037" s="18"/>
      <c r="E1037" s="18"/>
      <c r="F1037" s="18"/>
      <c r="G1037" s="18"/>
      <c r="H1037" s="18"/>
      <c r="I1037" s="18"/>
      <c r="J1037" s="18"/>
      <c r="K1037" s="18"/>
      <c r="L1037" s="18"/>
      <c r="M1037" s="18"/>
      <c r="N1037" s="18"/>
      <c r="O1037" s="18"/>
      <c r="P1037" s="31"/>
      <c r="Q1037" s="18"/>
      <c r="R1037" s="31"/>
      <c r="S1037" s="31"/>
      <c r="T1037" s="31"/>
      <c r="U1037" s="31"/>
      <c r="V1037" s="31"/>
      <c r="W1037" s="31"/>
      <c r="X1037" s="31"/>
      <c r="Y1037" s="45"/>
    </row>
    <row r="1038" ht="15" customHeight="1">
      <c r="A1038" s="103"/>
      <c r="B1038" s="18"/>
      <c r="C1038" s="31"/>
      <c r="D1038" s="18"/>
      <c r="E1038" s="18"/>
      <c r="F1038" s="18"/>
      <c r="G1038" s="18"/>
      <c r="H1038" s="18"/>
      <c r="I1038" s="18"/>
      <c r="J1038" s="18"/>
      <c r="K1038" s="18"/>
      <c r="L1038" s="18"/>
      <c r="M1038" s="18"/>
      <c r="N1038" s="18"/>
      <c r="O1038" s="18"/>
      <c r="P1038" s="31"/>
      <c r="Q1038" s="18"/>
      <c r="R1038" s="31"/>
      <c r="S1038" s="31"/>
      <c r="T1038" s="31"/>
      <c r="U1038" s="31"/>
      <c r="V1038" s="31"/>
      <c r="W1038" s="31"/>
      <c r="X1038" s="31"/>
      <c r="Y1038" s="45"/>
    </row>
    <row r="1039" ht="15" customHeight="1">
      <c r="A1039" s="103"/>
      <c r="B1039" s="18"/>
      <c r="C1039" s="31"/>
      <c r="D1039" s="18"/>
      <c r="E1039" s="18"/>
      <c r="F1039" s="18"/>
      <c r="G1039" s="18"/>
      <c r="H1039" s="18"/>
      <c r="I1039" s="18"/>
      <c r="J1039" s="18"/>
      <c r="K1039" s="18"/>
      <c r="L1039" s="18"/>
      <c r="M1039" s="18"/>
      <c r="N1039" s="18"/>
      <c r="O1039" s="18"/>
      <c r="P1039" s="31"/>
      <c r="Q1039" s="18"/>
      <c r="R1039" s="31"/>
      <c r="S1039" s="31"/>
      <c r="T1039" s="31"/>
      <c r="U1039" s="31"/>
      <c r="V1039" s="31"/>
      <c r="W1039" s="31"/>
      <c r="X1039" s="31"/>
      <c r="Y1039" s="45"/>
    </row>
    <row r="1040" ht="15" customHeight="1">
      <c r="A1040" s="104"/>
      <c r="B1040" s="105"/>
      <c r="C1040" s="106"/>
      <c r="D1040" s="105"/>
      <c r="E1040" s="105"/>
      <c r="F1040" s="105"/>
      <c r="G1040" s="105"/>
      <c r="H1040" s="105"/>
      <c r="I1040" s="105"/>
      <c r="J1040" s="105"/>
      <c r="K1040" s="105"/>
      <c r="L1040" s="105"/>
      <c r="M1040" s="105"/>
      <c r="N1040" s="105"/>
      <c r="O1040" s="105"/>
      <c r="P1040" s="106"/>
      <c r="Q1040" s="105"/>
      <c r="R1040" s="106"/>
      <c r="S1040" s="106"/>
      <c r="T1040" s="106"/>
      <c r="U1040" s="106"/>
      <c r="V1040" s="106"/>
      <c r="W1040" s="106"/>
      <c r="X1040" s="106"/>
      <c r="Y1040" s="107"/>
    </row>
  </sheetData>
  <mergeCells count="4">
    <mergeCell ref="B2:C2"/>
    <mergeCell ref="B3:C3"/>
    <mergeCell ref="B5:C5"/>
    <mergeCell ref="B6:C6"/>
  </mergeCells>
  <conditionalFormatting sqref="D9:O11 Q9:Q11 D15:O23 Q15:Q23 D26:O29 Q26:Q29 D31:O32 Q31:Q33 C33:O33 D34:O55 Q35:Q45 Q47:Q53 Q55:Q62 D56:O93 Q64:Q83 Q85:Q91 Q93:Q99 D94:O99">
    <cfRule type="cellIs" dxfId="3" priority="1" operator="lessThan" stopIfTrue="1">
      <formula>0</formula>
    </cfRule>
  </conditionalFormatting>
  <pageMargins left="0.3" right="0.3" top="0.3" bottom="0.3" header="0" footer="0"/>
  <pageSetup firstPageNumber="1" fitToHeight="1" fitToWidth="1" scale="100" useFirstPageNumber="0" orientation="landscape" pageOrder="downThenOver"/>
  <headerFooter>
    <oddFooter>&amp;C&amp;"Helvetica Neue,Regular"&amp;11&amp;K000000&amp;P</oddFooter>
  </headerFooter>
  <drawing r:id="rId1"/>
</worksheet>
</file>

<file path=xl/worksheets/sheet6.xml><?xml version="1.0" encoding="utf-8"?>
<worksheet xmlns:r="http://schemas.openxmlformats.org/officeDocument/2006/relationships" xmlns="http://schemas.openxmlformats.org/spreadsheetml/2006/main">
  <sheetPr>
    <pageSetUpPr fitToPage="1"/>
  </sheetPr>
  <dimension ref="A1:Y1040"/>
  <sheetViews>
    <sheetView workbookViewId="0" showGridLines="0" defaultGridColor="1"/>
  </sheetViews>
  <sheetFormatPr defaultColWidth="14.5" defaultRowHeight="15" customHeight="1" outlineLevelRow="0" outlineLevelCol="0"/>
  <cols>
    <col min="1" max="1" width="3.35156" style="136" customWidth="1"/>
    <col min="2" max="2" width="41" style="136" customWidth="1"/>
    <col min="3" max="3" width="18.8516" style="136" customWidth="1"/>
    <col min="4" max="4" width="3.35156" style="136" customWidth="1"/>
    <col min="5" max="14" width="18.8516" style="136" customWidth="1"/>
    <col min="15" max="15" width="3.35156" style="136" customWidth="1"/>
    <col min="16" max="16" width="18.8516" style="136" customWidth="1"/>
    <col min="17" max="17" width="3.35156" style="136" customWidth="1"/>
    <col min="18" max="18" width="4.67188" style="136" customWidth="1"/>
    <col min="19" max="25" width="28.6719" style="136" customWidth="1"/>
    <col min="26" max="16384" width="14.5" style="136" customWidth="1"/>
  </cols>
  <sheetData>
    <row r="1" ht="45" customHeight="1">
      <c r="A1" s="7"/>
      <c r="B1" t="s" s="8">
        <v>138</v>
      </c>
      <c r="C1" s="9"/>
      <c r="D1" s="10"/>
      <c r="E1" t="s" s="137">
        <v>200</v>
      </c>
      <c r="F1" s="10"/>
      <c r="G1" s="10"/>
      <c r="H1" s="10"/>
      <c r="I1" s="10"/>
      <c r="J1" s="10"/>
      <c r="K1" s="10"/>
      <c r="L1" s="10"/>
      <c r="M1" s="10"/>
      <c r="N1" s="10"/>
      <c r="O1" s="10"/>
      <c r="P1" s="10"/>
      <c r="Q1" s="10"/>
      <c r="R1" s="11"/>
      <c r="S1" s="11"/>
      <c r="T1" s="11"/>
      <c r="U1" s="11"/>
      <c r="V1" s="11"/>
      <c r="W1" s="11"/>
      <c r="X1" s="11"/>
      <c r="Y1" s="12"/>
    </row>
    <row r="2" ht="22" customHeight="1">
      <c r="A2" s="13"/>
      <c r="B2" t="s" s="14">
        <v>8</v>
      </c>
      <c r="C2" s="15"/>
      <c r="D2" s="16"/>
      <c r="E2" s="17"/>
      <c r="F2" s="17"/>
      <c r="G2" s="17"/>
      <c r="H2" s="17"/>
      <c r="I2" s="17"/>
      <c r="J2" s="17"/>
      <c r="K2" s="17"/>
      <c r="L2" s="17"/>
      <c r="M2" s="17"/>
      <c r="N2" s="17"/>
      <c r="O2" s="17"/>
      <c r="P2" s="17"/>
      <c r="Q2" s="18"/>
      <c r="R2" s="18"/>
      <c r="S2" s="18"/>
      <c r="T2" s="18"/>
      <c r="U2" s="18"/>
      <c r="V2" s="18"/>
      <c r="W2" s="18"/>
      <c r="X2" s="18"/>
      <c r="Y2" s="19"/>
    </row>
    <row r="3" ht="35" customHeight="1">
      <c r="A3" s="113"/>
      <c r="B3" s="138" cm="1">
        <f t="array" ref="B3">'BLANK - Monthly Profit &amp; Loss -'!B3</f>
        <v>0</v>
      </c>
      <c r="C3" s="114"/>
      <c r="D3" s="115"/>
      <c r="E3" s="116"/>
      <c r="F3" s="116"/>
      <c r="G3" s="116"/>
      <c r="H3" s="116"/>
      <c r="I3" s="116"/>
      <c r="J3" s="116"/>
      <c r="K3" s="116"/>
      <c r="L3" s="116"/>
      <c r="M3" s="116"/>
      <c r="N3" s="116"/>
      <c r="O3" s="116"/>
      <c r="P3" s="116"/>
      <c r="Q3" s="117"/>
      <c r="R3" s="117"/>
      <c r="S3" s="117"/>
      <c r="T3" s="117"/>
      <c r="U3" s="117"/>
      <c r="V3" s="117"/>
      <c r="W3" s="117"/>
      <c r="X3" s="117"/>
      <c r="Y3" s="118"/>
    </row>
    <row r="4" ht="11" customHeight="1">
      <c r="A4" s="27"/>
      <c r="B4" s="119"/>
      <c r="C4" s="29"/>
      <c r="D4" s="30"/>
      <c r="E4" s="30"/>
      <c r="F4" s="30"/>
      <c r="G4" s="30"/>
      <c r="H4" s="30"/>
      <c r="I4" s="30"/>
      <c r="J4" s="30"/>
      <c r="K4" s="30"/>
      <c r="L4" s="30"/>
      <c r="M4" s="30"/>
      <c r="N4" s="30"/>
      <c r="O4" s="30"/>
      <c r="P4" s="30"/>
      <c r="Q4" s="31"/>
      <c r="R4" s="30"/>
      <c r="S4" s="18"/>
      <c r="T4" s="18"/>
      <c r="U4" s="18"/>
      <c r="V4" s="18"/>
      <c r="W4" s="18"/>
      <c r="X4" s="18"/>
      <c r="Y4" s="19"/>
    </row>
    <row r="5" ht="22" customHeight="1">
      <c r="A5" s="13"/>
      <c r="B5" t="s" s="14">
        <v>180</v>
      </c>
      <c r="C5" s="15"/>
      <c r="D5" s="16"/>
      <c r="E5" s="17"/>
      <c r="F5" s="17"/>
      <c r="G5" s="17"/>
      <c r="H5" s="17"/>
      <c r="I5" s="17"/>
      <c r="J5" s="17"/>
      <c r="K5" s="17"/>
      <c r="L5" s="17"/>
      <c r="M5" s="17"/>
      <c r="N5" s="17"/>
      <c r="O5" s="17"/>
      <c r="P5" s="17"/>
      <c r="Q5" s="18"/>
      <c r="R5" s="18"/>
      <c r="S5" s="18"/>
      <c r="T5" s="18"/>
      <c r="U5" s="18"/>
      <c r="V5" s="18"/>
      <c r="W5" s="18"/>
      <c r="X5" s="18"/>
      <c r="Y5" s="19"/>
    </row>
    <row r="6" ht="35" customHeight="1">
      <c r="A6" s="113"/>
      <c r="B6" s="138" cm="1">
        <f t="array" ref="B6">'BLANK - Monthly Profit &amp; Loss -'!B6</f>
        <v>0</v>
      </c>
      <c r="C6" s="114"/>
      <c r="D6" s="115"/>
      <c r="E6" s="116"/>
      <c r="F6" s="116"/>
      <c r="G6" s="116"/>
      <c r="H6" s="116"/>
      <c r="I6" s="116"/>
      <c r="J6" s="116"/>
      <c r="K6" s="116"/>
      <c r="L6" s="116"/>
      <c r="M6" s="116"/>
      <c r="N6" s="116"/>
      <c r="O6" s="116"/>
      <c r="P6" s="116"/>
      <c r="Q6" s="117"/>
      <c r="R6" s="117"/>
      <c r="S6" s="117"/>
      <c r="T6" s="117"/>
      <c r="U6" s="117"/>
      <c r="V6" s="117"/>
      <c r="W6" s="117"/>
      <c r="X6" s="117"/>
      <c r="Y6" s="118"/>
    </row>
    <row r="7" ht="11" customHeight="1">
      <c r="A7" s="27"/>
      <c r="B7" s="122"/>
      <c r="C7" s="29"/>
      <c r="D7" s="30"/>
      <c r="E7" s="30"/>
      <c r="F7" s="30"/>
      <c r="G7" s="30"/>
      <c r="H7" s="30"/>
      <c r="I7" s="30"/>
      <c r="J7" s="30"/>
      <c r="K7" s="30"/>
      <c r="L7" s="30"/>
      <c r="M7" s="30"/>
      <c r="N7" s="30"/>
      <c r="O7" s="30"/>
      <c r="P7" s="30"/>
      <c r="Q7" s="31"/>
      <c r="R7" s="30"/>
      <c r="S7" s="18"/>
      <c r="T7" s="18"/>
      <c r="U7" s="18"/>
      <c r="V7" s="18"/>
      <c r="W7" s="18"/>
      <c r="X7" s="18"/>
      <c r="Y7" s="19"/>
    </row>
    <row r="8" ht="20" customHeight="1">
      <c r="A8" s="35"/>
      <c r="B8" s="36"/>
      <c r="C8" t="s" s="37">
        <v>24</v>
      </c>
      <c r="D8" s="39"/>
      <c r="E8" s="24"/>
      <c r="F8" s="25"/>
      <c r="G8" s="25"/>
      <c r="H8" s="25"/>
      <c r="I8" s="25"/>
      <c r="J8" s="25"/>
      <c r="K8" s="25"/>
      <c r="L8" s="25"/>
      <c r="M8" s="31"/>
      <c r="N8" s="31"/>
      <c r="O8" s="31"/>
      <c r="P8" s="31"/>
      <c r="Q8" s="31"/>
      <c r="R8" s="31"/>
      <c r="S8" s="31"/>
      <c r="T8" s="31"/>
      <c r="U8" s="31"/>
      <c r="V8" s="31"/>
      <c r="W8" s="31"/>
      <c r="X8" s="31"/>
      <c r="Y8" s="45"/>
    </row>
    <row r="9" ht="20" customHeight="1">
      <c r="A9" s="40"/>
      <c r="B9" t="s" s="41">
        <v>25</v>
      </c>
      <c r="C9" s="139" cm="1">
        <f t="array" ref="C9">'BLANK - Monthly Profit &amp; Loss -'!Q9</f>
        <v>0</v>
      </c>
      <c r="D9" s="39"/>
      <c r="E9" s="124"/>
      <c r="F9" s="18"/>
      <c r="G9" s="18"/>
      <c r="H9" s="18"/>
      <c r="I9" s="18"/>
      <c r="J9" s="18"/>
      <c r="K9" s="31"/>
      <c r="L9" s="31"/>
      <c r="M9" s="31"/>
      <c r="N9" s="31"/>
      <c r="O9" s="31"/>
      <c r="P9" s="31"/>
      <c r="Q9" s="31"/>
      <c r="R9" s="31"/>
      <c r="S9" s="31"/>
      <c r="T9" s="31"/>
      <c r="U9" s="31"/>
      <c r="V9" s="31"/>
      <c r="W9" s="31"/>
      <c r="X9" s="31"/>
      <c r="Y9" s="45"/>
    </row>
    <row r="10" ht="20" customHeight="1">
      <c r="A10" s="40"/>
      <c r="B10" t="s" s="41">
        <v>26</v>
      </c>
      <c r="C10" s="139" cm="1">
        <f t="array" ref="C10">'BLANK - Monthly Profit &amp; Loss -'!Q10</f>
        <v>0</v>
      </c>
      <c r="D10" s="47"/>
      <c r="E10" s="18"/>
      <c r="F10" s="18"/>
      <c r="G10" s="18"/>
      <c r="H10" s="18"/>
      <c r="I10" s="18"/>
      <c r="J10" s="18"/>
      <c r="K10" s="18"/>
      <c r="L10" s="18"/>
      <c r="M10" s="31"/>
      <c r="N10" s="31"/>
      <c r="O10" s="31"/>
      <c r="P10" s="31"/>
      <c r="Q10" s="31"/>
      <c r="R10" s="31"/>
      <c r="S10" s="31"/>
      <c r="T10" s="31"/>
      <c r="U10" s="31"/>
      <c r="V10" s="31"/>
      <c r="W10" s="31"/>
      <c r="X10" s="31"/>
      <c r="Y10" s="45"/>
    </row>
    <row r="11" ht="22" customHeight="1">
      <c r="A11" s="40"/>
      <c r="B11" t="s" s="48">
        <v>27</v>
      </c>
      <c r="C11" s="140" cm="1">
        <f t="array" ref="C11">'BLANK - Monthly Profit &amp; Loss -'!Q11</f>
        <v>0</v>
      </c>
      <c r="D11" s="39"/>
      <c r="E11" s="124"/>
      <c r="F11" s="18"/>
      <c r="G11" s="18"/>
      <c r="H11" s="18"/>
      <c r="I11" s="18"/>
      <c r="J11" s="18"/>
      <c r="K11" s="31"/>
      <c r="L11" s="31"/>
      <c r="M11" s="31"/>
      <c r="N11" s="31"/>
      <c r="O11" s="31"/>
      <c r="P11" s="31"/>
      <c r="Q11" s="31"/>
      <c r="R11" s="31"/>
      <c r="S11" s="31"/>
      <c r="T11" s="31"/>
      <c r="U11" s="31"/>
      <c r="V11" s="31"/>
      <c r="W11" s="31"/>
      <c r="X11" s="31"/>
      <c r="Y11" s="45"/>
    </row>
    <row r="12" ht="15" customHeight="1">
      <c r="A12" s="27"/>
      <c r="B12" s="28"/>
      <c r="C12" s="29"/>
      <c r="D12" s="31"/>
      <c r="E12" s="30"/>
      <c r="F12" s="18"/>
      <c r="G12" s="18"/>
      <c r="H12" s="18"/>
      <c r="I12" s="18"/>
      <c r="J12" s="18"/>
      <c r="K12" s="18"/>
      <c r="L12" s="18"/>
      <c r="M12" s="31"/>
      <c r="N12" s="31"/>
      <c r="O12" s="31"/>
      <c r="P12" s="31"/>
      <c r="Q12" s="31"/>
      <c r="R12" s="31"/>
      <c r="S12" s="31"/>
      <c r="T12" s="31"/>
      <c r="U12" s="31"/>
      <c r="V12" s="31"/>
      <c r="W12" s="31"/>
      <c r="X12" s="31"/>
      <c r="Y12" s="45"/>
    </row>
    <row r="13" ht="20" customHeight="1">
      <c r="A13" s="20"/>
      <c r="B13" t="s" s="66">
        <v>37</v>
      </c>
      <c r="C13" t="str" s="126" cm="1">
        <f t="array" ref="C13">'BLANK - Monthly Profit &amp; Loss -'!Q14</f>
        <v>YTD</v>
      </c>
      <c r="D13" s="39"/>
      <c r="E13" s="24"/>
      <c r="F13" s="25"/>
      <c r="G13" s="25"/>
      <c r="H13" s="25"/>
      <c r="I13" s="25"/>
      <c r="J13" s="25"/>
      <c r="K13" s="25"/>
      <c r="L13" s="25"/>
      <c r="M13" s="31"/>
      <c r="N13" s="31"/>
      <c r="O13" s="31"/>
      <c r="P13" s="31"/>
      <c r="Q13" s="31"/>
      <c r="R13" s="31"/>
      <c r="S13" s="31"/>
      <c r="T13" s="31"/>
      <c r="U13" s="31"/>
      <c r="V13" s="31"/>
      <c r="W13" s="31"/>
      <c r="X13" s="31"/>
      <c r="Y13" s="45"/>
    </row>
    <row r="14" ht="20" customHeight="1">
      <c r="A14" s="40"/>
      <c r="B14" t="s" s="68">
        <v>201</v>
      </c>
      <c r="C14" s="141" cm="1">
        <f t="array" ref="C14">'BLANK - Monthly Profit &amp; Loss -'!Q15</f>
        <v>0</v>
      </c>
      <c r="D14" s="39"/>
      <c r="E14" s="124"/>
      <c r="F14" s="18"/>
      <c r="G14" s="18"/>
      <c r="H14" s="18"/>
      <c r="I14" s="18"/>
      <c r="J14" s="18"/>
      <c r="K14" s="31"/>
      <c r="L14" s="31"/>
      <c r="M14" s="31"/>
      <c r="N14" s="31"/>
      <c r="O14" s="31"/>
      <c r="P14" s="31"/>
      <c r="Q14" s="31"/>
      <c r="R14" s="31"/>
      <c r="S14" s="31"/>
      <c r="T14" s="31"/>
      <c r="U14" s="31"/>
      <c r="V14" s="31"/>
      <c r="W14" s="31"/>
      <c r="X14" s="31"/>
      <c r="Y14" s="45"/>
    </row>
    <row r="15" ht="20" customHeight="1">
      <c r="A15" s="40"/>
      <c r="B15" t="s" s="68">
        <v>202</v>
      </c>
      <c r="C15" s="141" cm="1">
        <f t="array" ref="C15">'BLANK - Monthly Profit &amp; Loss -'!Q16</f>
        <v>0</v>
      </c>
      <c r="D15" s="39"/>
      <c r="E15" s="124"/>
      <c r="F15" s="18"/>
      <c r="G15" s="18"/>
      <c r="H15" s="18"/>
      <c r="I15" s="18"/>
      <c r="J15" s="18"/>
      <c r="K15" s="31"/>
      <c r="L15" s="31"/>
      <c r="M15" s="31"/>
      <c r="N15" s="31"/>
      <c r="O15" s="31"/>
      <c r="P15" s="31"/>
      <c r="Q15" s="31"/>
      <c r="R15" s="31"/>
      <c r="S15" s="31"/>
      <c r="T15" s="31"/>
      <c r="U15" s="31"/>
      <c r="V15" s="31"/>
      <c r="W15" s="31"/>
      <c r="X15" s="31"/>
      <c r="Y15" s="45"/>
    </row>
    <row r="16" ht="20" customHeight="1">
      <c r="A16" s="40"/>
      <c r="B16" t="s" s="68">
        <v>203</v>
      </c>
      <c r="C16" s="141" cm="1">
        <f t="array" ref="C16">'BLANK - Monthly Profit &amp; Loss -'!Q17</f>
        <v>0</v>
      </c>
      <c r="D16" s="39"/>
      <c r="E16" s="124"/>
      <c r="F16" s="18"/>
      <c r="G16" s="18"/>
      <c r="H16" s="18"/>
      <c r="I16" s="18"/>
      <c r="J16" s="18"/>
      <c r="K16" s="31"/>
      <c r="L16" s="31"/>
      <c r="M16" s="31"/>
      <c r="N16" s="31"/>
      <c r="O16" s="31"/>
      <c r="P16" s="31"/>
      <c r="Q16" s="31"/>
      <c r="R16" s="31"/>
      <c r="S16" s="31"/>
      <c r="T16" s="31"/>
      <c r="U16" s="31"/>
      <c r="V16" s="31"/>
      <c r="W16" s="31"/>
      <c r="X16" s="31"/>
      <c r="Y16" s="45"/>
    </row>
    <row r="17" ht="20" customHeight="1">
      <c r="A17" s="40"/>
      <c r="B17" t="s" s="68">
        <v>204</v>
      </c>
      <c r="C17" s="141" cm="1">
        <f t="array" ref="C17">'BLANK - Monthly Profit &amp; Loss -'!Q18</f>
        <v>0</v>
      </c>
      <c r="D17" s="39"/>
      <c r="E17" s="124"/>
      <c r="F17" s="18"/>
      <c r="G17" s="18"/>
      <c r="H17" s="18"/>
      <c r="I17" s="18"/>
      <c r="J17" s="18"/>
      <c r="K17" s="31"/>
      <c r="L17" s="31"/>
      <c r="M17" s="31"/>
      <c r="N17" s="31"/>
      <c r="O17" s="31"/>
      <c r="P17" s="31"/>
      <c r="Q17" s="31"/>
      <c r="R17" s="31"/>
      <c r="S17" s="31"/>
      <c r="T17" s="31"/>
      <c r="U17" s="31"/>
      <c r="V17" s="31"/>
      <c r="W17" s="31"/>
      <c r="X17" s="31"/>
      <c r="Y17" s="45"/>
    </row>
    <row r="18" ht="20" customHeight="1">
      <c r="A18" s="40"/>
      <c r="B18" t="s" s="68">
        <v>205</v>
      </c>
      <c r="C18" s="141" cm="1">
        <f t="array" ref="C18">'BLANK - Monthly Profit &amp; Loss -'!Q19</f>
        <v>0</v>
      </c>
      <c r="D18" s="39"/>
      <c r="E18" s="124"/>
      <c r="F18" s="18"/>
      <c r="G18" s="18"/>
      <c r="H18" s="18"/>
      <c r="I18" s="18"/>
      <c r="J18" s="18"/>
      <c r="K18" s="31"/>
      <c r="L18" s="31"/>
      <c r="M18" s="31"/>
      <c r="N18" s="31"/>
      <c r="O18" s="31"/>
      <c r="P18" s="31"/>
      <c r="Q18" s="31"/>
      <c r="R18" s="31"/>
      <c r="S18" s="31"/>
      <c r="T18" s="31"/>
      <c r="U18" s="31"/>
      <c r="V18" s="31"/>
      <c r="W18" s="31"/>
      <c r="X18" s="31"/>
      <c r="Y18" s="45"/>
    </row>
    <row r="19" ht="20" customHeight="1">
      <c r="A19" s="40"/>
      <c r="B19" t="s" s="68">
        <v>206</v>
      </c>
      <c r="C19" s="141" cm="1">
        <f t="array" ref="C19">'BLANK - Monthly Profit &amp; Loss -'!Q20</f>
        <v>0</v>
      </c>
      <c r="D19" s="39"/>
      <c r="E19" s="124"/>
      <c r="F19" s="18"/>
      <c r="G19" s="18"/>
      <c r="H19" s="18"/>
      <c r="I19" s="18"/>
      <c r="J19" s="18"/>
      <c r="K19" s="31"/>
      <c r="L19" s="31"/>
      <c r="M19" s="31"/>
      <c r="N19" s="31"/>
      <c r="O19" s="31"/>
      <c r="P19" s="31"/>
      <c r="Q19" s="31"/>
      <c r="R19" s="31"/>
      <c r="S19" s="31"/>
      <c r="T19" s="31"/>
      <c r="U19" s="31"/>
      <c r="V19" s="31"/>
      <c r="W19" s="31"/>
      <c r="X19" s="31"/>
      <c r="Y19" s="45"/>
    </row>
    <row r="20" ht="20" customHeight="1">
      <c r="A20" s="40"/>
      <c r="B20" t="s" s="68">
        <v>207</v>
      </c>
      <c r="C20" s="141" cm="1">
        <f t="array" ref="C20">'BLANK - Monthly Profit &amp; Loss -'!Q21</f>
        <v>0</v>
      </c>
      <c r="D20" s="39"/>
      <c r="E20" s="124"/>
      <c r="F20" s="18"/>
      <c r="G20" s="18"/>
      <c r="H20" s="18"/>
      <c r="I20" s="18"/>
      <c r="J20" s="18"/>
      <c r="K20" s="31"/>
      <c r="L20" s="31"/>
      <c r="M20" s="31"/>
      <c r="N20" s="31"/>
      <c r="O20" s="31"/>
      <c r="P20" s="31"/>
      <c r="Q20" s="31"/>
      <c r="R20" s="31"/>
      <c r="S20" s="31"/>
      <c r="T20" s="31"/>
      <c r="U20" s="31"/>
      <c r="V20" s="31"/>
      <c r="W20" s="31"/>
      <c r="X20" s="31"/>
      <c r="Y20" s="45"/>
    </row>
    <row r="21" ht="20" customHeight="1">
      <c r="A21" s="40"/>
      <c r="B21" t="s" s="68">
        <v>208</v>
      </c>
      <c r="C21" s="141" cm="1">
        <f t="array" ref="C21">'BLANK - Monthly Profit &amp; Loss -'!Q22</f>
        <v>0</v>
      </c>
      <c r="D21" s="39"/>
      <c r="E21" s="124"/>
      <c r="F21" s="18"/>
      <c r="G21" s="18"/>
      <c r="H21" s="18"/>
      <c r="I21" s="18"/>
      <c r="J21" s="18"/>
      <c r="K21" s="31"/>
      <c r="L21" s="31"/>
      <c r="M21" s="31"/>
      <c r="N21" s="31"/>
      <c r="O21" s="31"/>
      <c r="P21" s="31"/>
      <c r="Q21" s="31"/>
      <c r="R21" s="31"/>
      <c r="S21" s="31"/>
      <c r="T21" s="31"/>
      <c r="U21" s="31"/>
      <c r="V21" s="31"/>
      <c r="W21" s="31"/>
      <c r="X21" s="31"/>
      <c r="Y21" s="45"/>
    </row>
    <row r="22" ht="20" customHeight="1">
      <c r="A22" s="40"/>
      <c r="B22" t="s" s="72">
        <v>38</v>
      </c>
      <c r="C22" s="139" cm="1">
        <f t="array" ref="C22">'BLANK - Monthly Profit &amp; Loss -'!Q23</f>
        <v>0</v>
      </c>
      <c r="D22" s="39"/>
      <c r="E22" s="124"/>
      <c r="F22" s="18"/>
      <c r="G22" s="18"/>
      <c r="H22" s="18"/>
      <c r="I22" s="18"/>
      <c r="J22" s="18"/>
      <c r="K22" s="31"/>
      <c r="L22" s="31"/>
      <c r="M22" s="31"/>
      <c r="N22" s="31"/>
      <c r="O22" s="31"/>
      <c r="P22" s="31"/>
      <c r="Q22" s="31"/>
      <c r="R22" s="31"/>
      <c r="S22" s="31"/>
      <c r="T22" s="31"/>
      <c r="U22" s="31"/>
      <c r="V22" s="31"/>
      <c r="W22" s="31"/>
      <c r="X22" s="31"/>
      <c r="Y22" s="45"/>
    </row>
    <row r="23" ht="20" customHeight="1">
      <c r="A23" s="27"/>
      <c r="B23" s="74"/>
      <c r="C23" s="74"/>
      <c r="D23" s="31"/>
      <c r="E23" s="124"/>
      <c r="F23" s="18"/>
      <c r="G23" s="18"/>
      <c r="H23" s="18"/>
      <c r="I23" s="18"/>
      <c r="J23" s="18"/>
      <c r="K23" s="31"/>
      <c r="L23" s="31"/>
      <c r="M23" s="31"/>
      <c r="N23" s="31"/>
      <c r="O23" s="31"/>
      <c r="P23" s="31"/>
      <c r="Q23" s="31"/>
      <c r="R23" s="31"/>
      <c r="S23" s="31"/>
      <c r="T23" s="31"/>
      <c r="U23" s="31"/>
      <c r="V23" s="31"/>
      <c r="W23" s="31"/>
      <c r="X23" s="31"/>
      <c r="Y23" s="45"/>
    </row>
    <row r="24" ht="20" customHeight="1">
      <c r="A24" s="40"/>
      <c r="B24" t="s" s="66">
        <v>39</v>
      </c>
      <c r="C24" t="str" s="126" cm="1">
        <f t="array" ref="C24">'BLANK - Monthly Profit &amp; Loss -'!Q25</f>
        <v>YTD</v>
      </c>
      <c r="D24" s="39"/>
      <c r="E24" s="124"/>
      <c r="F24" s="18"/>
      <c r="G24" s="18"/>
      <c r="H24" s="18"/>
      <c r="I24" s="18"/>
      <c r="J24" s="18"/>
      <c r="K24" s="31"/>
      <c r="L24" s="31"/>
      <c r="M24" s="31"/>
      <c r="N24" s="31"/>
      <c r="O24" s="31"/>
      <c r="P24" s="31"/>
      <c r="Q24" s="31"/>
      <c r="R24" s="31"/>
      <c r="S24" s="31"/>
      <c r="T24" s="31"/>
      <c r="U24" s="31"/>
      <c r="V24" s="31"/>
      <c r="W24" s="31"/>
      <c r="X24" s="31"/>
      <c r="Y24" s="45"/>
    </row>
    <row r="25" ht="20" customHeight="1">
      <c r="A25" s="77"/>
      <c r="B25" t="s" s="78">
        <v>147</v>
      </c>
      <c r="C25" s="142" cm="1">
        <f t="array" ref="C25">'BLANK - Monthly Profit &amp; Loss -'!Q26</f>
        <v>0</v>
      </c>
      <c r="D25" s="39"/>
      <c r="E25" s="129"/>
      <c r="F25" s="82"/>
      <c r="G25" s="82"/>
      <c r="H25" s="82"/>
      <c r="I25" s="82"/>
      <c r="J25" s="82"/>
      <c r="K25" s="31"/>
      <c r="L25" s="31"/>
      <c r="M25" s="31"/>
      <c r="N25" s="31"/>
      <c r="O25" s="31"/>
      <c r="P25" s="31"/>
      <c r="Q25" s="31"/>
      <c r="R25" s="31"/>
      <c r="S25" s="31"/>
      <c r="T25" s="31"/>
      <c r="U25" s="31"/>
      <c r="V25" s="31"/>
      <c r="W25" s="31"/>
      <c r="X25" s="31"/>
      <c r="Y25" s="45"/>
    </row>
    <row r="26" ht="20" customHeight="1">
      <c r="A26" s="40"/>
      <c r="B26" t="s" s="78">
        <v>148</v>
      </c>
      <c r="C26" s="142" cm="1">
        <f t="array" ref="C26">'BLANK - Monthly Profit &amp; Loss -'!Q27</f>
        <v>0</v>
      </c>
      <c r="D26" s="39"/>
      <c r="E26" s="124"/>
      <c r="F26" s="18"/>
      <c r="G26" s="18"/>
      <c r="H26" s="18"/>
      <c r="I26" s="18"/>
      <c r="J26" s="18"/>
      <c r="K26" s="31"/>
      <c r="L26" s="31"/>
      <c r="M26" s="31"/>
      <c r="N26" s="31"/>
      <c r="O26" s="31"/>
      <c r="P26" s="31"/>
      <c r="Q26" s="31"/>
      <c r="R26" s="31"/>
      <c r="S26" s="31"/>
      <c r="T26" s="31"/>
      <c r="U26" s="31"/>
      <c r="V26" s="31"/>
      <c r="W26" s="31"/>
      <c r="X26" s="31"/>
      <c r="Y26" s="45"/>
    </row>
    <row r="27" ht="20" customHeight="1">
      <c r="A27" s="13"/>
      <c r="B27" t="s" s="78">
        <v>149</v>
      </c>
      <c r="C27" s="142" cm="1">
        <f t="array" ref="C27">'BLANK - Monthly Profit &amp; Loss -'!Q28</f>
        <v>0</v>
      </c>
      <c r="D27" s="39"/>
      <c r="E27" s="124"/>
      <c r="F27" s="83"/>
      <c r="G27" s="83"/>
      <c r="H27" s="83"/>
      <c r="I27" s="83"/>
      <c r="J27" s="83"/>
      <c r="K27" s="31"/>
      <c r="L27" s="31"/>
      <c r="M27" s="31"/>
      <c r="N27" s="31"/>
      <c r="O27" s="31"/>
      <c r="P27" s="31"/>
      <c r="Q27" s="31"/>
      <c r="R27" s="31"/>
      <c r="S27" s="31"/>
      <c r="T27" s="31"/>
      <c r="U27" s="31"/>
      <c r="V27" s="31"/>
      <c r="W27" s="31"/>
      <c r="X27" s="31"/>
      <c r="Y27" s="45"/>
    </row>
    <row r="28" ht="20" customHeight="1">
      <c r="A28" s="40"/>
      <c r="B28" t="s" s="72">
        <v>43</v>
      </c>
      <c r="C28" s="139" cm="1">
        <f t="array" ref="C28">'BLANK - Monthly Profit &amp; Loss -'!Q29</f>
        <v>0</v>
      </c>
      <c r="D28" s="39"/>
      <c r="E28" s="124"/>
      <c r="F28" s="18"/>
      <c r="G28" s="18"/>
      <c r="H28" s="18"/>
      <c r="I28" s="18"/>
      <c r="J28" s="18"/>
      <c r="K28" s="31"/>
      <c r="L28" s="31"/>
      <c r="M28" s="31"/>
      <c r="N28" s="31"/>
      <c r="O28" s="31"/>
      <c r="P28" s="31"/>
      <c r="Q28" s="31"/>
      <c r="R28" s="31"/>
      <c r="S28" s="31"/>
      <c r="T28" s="31"/>
      <c r="U28" s="31"/>
      <c r="V28" s="31"/>
      <c r="W28" s="31"/>
      <c r="X28" s="31"/>
      <c r="Y28" s="45"/>
    </row>
    <row r="29" ht="20" customHeight="1">
      <c r="A29" s="27"/>
      <c r="B29" s="74"/>
      <c r="C29" s="74"/>
      <c r="D29" s="31"/>
      <c r="E29" s="124"/>
      <c r="F29" s="18"/>
      <c r="G29" s="18"/>
      <c r="H29" s="18"/>
      <c r="I29" s="18"/>
      <c r="J29" s="18"/>
      <c r="K29" s="31"/>
      <c r="L29" s="31"/>
      <c r="M29" s="31"/>
      <c r="N29" s="31"/>
      <c r="O29" s="31"/>
      <c r="P29" s="31"/>
      <c r="Q29" s="31"/>
      <c r="R29" s="31"/>
      <c r="S29" s="31"/>
      <c r="T29" s="31"/>
      <c r="U29" s="31"/>
      <c r="V29" s="31"/>
      <c r="W29" s="31"/>
      <c r="X29" s="31"/>
      <c r="Y29" s="45"/>
    </row>
    <row r="30" ht="20" customHeight="1">
      <c r="A30" s="40"/>
      <c r="B30" t="s" s="41">
        <v>44</v>
      </c>
      <c r="C30" s="139" cm="1">
        <f t="array" ref="C30">'BLANK - Monthly Profit &amp; Loss -'!Q31</f>
        <v>0</v>
      </c>
      <c r="D30" s="39"/>
      <c r="E30" s="124"/>
      <c r="F30" s="18"/>
      <c r="G30" s="18"/>
      <c r="H30" s="18"/>
      <c r="I30" s="18"/>
      <c r="J30" s="18"/>
      <c r="K30" s="31"/>
      <c r="L30" s="31"/>
      <c r="M30" s="31"/>
      <c r="N30" s="31"/>
      <c r="O30" s="31"/>
      <c r="P30" s="31"/>
      <c r="Q30" s="31"/>
      <c r="R30" s="31"/>
      <c r="S30" s="31"/>
      <c r="T30" s="31"/>
      <c r="U30" s="31"/>
      <c r="V30" s="31"/>
      <c r="W30" s="31"/>
      <c r="X30" s="31"/>
      <c r="Y30" s="45"/>
    </row>
    <row r="31" ht="20" customHeight="1">
      <c r="A31" s="27"/>
      <c r="B31" s="86"/>
      <c r="C31" s="87"/>
      <c r="D31" s="31"/>
      <c r="E31" s="124"/>
      <c r="F31" s="18"/>
      <c r="G31" s="18"/>
      <c r="H31" s="18"/>
      <c r="I31" s="18"/>
      <c r="J31" s="18"/>
      <c r="K31" s="31"/>
      <c r="L31" s="31"/>
      <c r="M31" s="31"/>
      <c r="N31" s="31"/>
      <c r="O31" s="31"/>
      <c r="P31" s="31"/>
      <c r="Q31" s="31"/>
      <c r="R31" s="31"/>
      <c r="S31" s="31"/>
      <c r="T31" s="31"/>
      <c r="U31" s="31"/>
      <c r="V31" s="31"/>
      <c r="W31" s="31"/>
      <c r="X31" s="31"/>
      <c r="Y31" s="45"/>
    </row>
    <row r="32" ht="20" customHeight="1">
      <c r="A32" s="40"/>
      <c r="B32" t="s" s="66">
        <v>45</v>
      </c>
      <c r="C32" s="91"/>
      <c r="D32" s="39"/>
      <c r="E32" s="124"/>
      <c r="F32" s="18"/>
      <c r="G32" s="18"/>
      <c r="H32" s="18"/>
      <c r="I32" s="18"/>
      <c r="J32" s="18"/>
      <c r="K32" s="31"/>
      <c r="L32" s="31"/>
      <c r="M32" s="31"/>
      <c r="N32" s="31"/>
      <c r="O32" s="31"/>
      <c r="P32" s="31"/>
      <c r="Q32" s="31"/>
      <c r="R32" s="31"/>
      <c r="S32" s="31"/>
      <c r="T32" s="31"/>
      <c r="U32" s="31"/>
      <c r="V32" s="31"/>
      <c r="W32" s="31"/>
      <c r="X32" s="31"/>
      <c r="Y32" s="45"/>
    </row>
    <row r="33" ht="20" customHeight="1">
      <c r="A33" s="40"/>
      <c r="B33" t="s" s="92">
        <v>150</v>
      </c>
      <c r="C33" t="str" s="126" cm="1">
        <f t="array" ref="C33">'BLANK - Monthly Profit &amp; Loss -'!Q34</f>
        <v>YTD</v>
      </c>
      <c r="D33" s="39"/>
      <c r="E33" s="124"/>
      <c r="F33" s="18"/>
      <c r="G33" s="18"/>
      <c r="H33" s="18"/>
      <c r="I33" s="18"/>
      <c r="J33" s="18"/>
      <c r="K33" s="31"/>
      <c r="L33" s="31"/>
      <c r="M33" s="31"/>
      <c r="N33" s="31"/>
      <c r="O33" s="31"/>
      <c r="P33" s="31"/>
      <c r="Q33" s="31"/>
      <c r="R33" s="31"/>
      <c r="S33" s="31"/>
      <c r="T33" s="31"/>
      <c r="U33" s="31"/>
      <c r="V33" s="31"/>
      <c r="W33" s="31"/>
      <c r="X33" s="31"/>
      <c r="Y33" s="45"/>
    </row>
    <row r="34" ht="20" customHeight="1">
      <c r="A34" s="40"/>
      <c r="B34" t="s" s="68">
        <v>188</v>
      </c>
      <c r="C34" s="141" cm="1">
        <f t="array" ref="C34">'BLANK - Monthly Profit &amp; Loss -'!Q35</f>
        <v>0</v>
      </c>
      <c r="D34" s="47"/>
      <c r="E34" s="130"/>
      <c r="F34" s="18"/>
      <c r="G34" s="18"/>
      <c r="H34" s="18"/>
      <c r="I34" s="18"/>
      <c r="J34" s="18"/>
      <c r="K34" s="18"/>
      <c r="L34" s="18"/>
      <c r="M34" s="31"/>
      <c r="N34" s="31"/>
      <c r="O34" s="31"/>
      <c r="P34" s="31"/>
      <c r="Q34" s="31"/>
      <c r="R34" s="31"/>
      <c r="S34" s="31"/>
      <c r="T34" s="31"/>
      <c r="U34" s="31"/>
      <c r="V34" s="31"/>
      <c r="W34" s="31"/>
      <c r="X34" s="31"/>
      <c r="Y34" s="45"/>
    </row>
    <row r="35" ht="20" customHeight="1">
      <c r="A35" s="93"/>
      <c r="B35" t="s" s="68">
        <v>189</v>
      </c>
      <c r="C35" s="141" cm="1">
        <f t="array" ref="C35">'BLANK - Monthly Profit &amp; Loss -'!Q36</f>
        <v>0</v>
      </c>
      <c r="D35" s="39"/>
      <c r="E35" s="31"/>
      <c r="F35" s="31"/>
      <c r="G35" s="31"/>
      <c r="H35" s="31"/>
      <c r="I35" s="31"/>
      <c r="J35" s="31"/>
      <c r="K35" s="31"/>
      <c r="L35" s="31"/>
      <c r="M35" s="31"/>
      <c r="N35" s="31"/>
      <c r="O35" s="31"/>
      <c r="P35" s="31"/>
      <c r="Q35" s="31"/>
      <c r="R35" s="31"/>
      <c r="S35" s="31"/>
      <c r="T35" s="31"/>
      <c r="U35" s="31"/>
      <c r="V35" s="31"/>
      <c r="W35" s="31"/>
      <c r="X35" s="31"/>
      <c r="Y35" s="45"/>
    </row>
    <row r="36" ht="20" customHeight="1">
      <c r="A36" s="40"/>
      <c r="B36" t="s" s="68">
        <v>190</v>
      </c>
      <c r="C36" s="141" cm="1">
        <f t="array" ref="C36">'BLANK - Monthly Profit &amp; Loss -'!Q37</f>
        <v>0</v>
      </c>
      <c r="D36" s="47"/>
      <c r="E36" s="18"/>
      <c r="F36" s="18"/>
      <c r="G36" s="18"/>
      <c r="H36" s="18"/>
      <c r="I36" s="18"/>
      <c r="J36" s="18"/>
      <c r="K36" s="18"/>
      <c r="L36" s="18"/>
      <c r="M36" s="31"/>
      <c r="N36" s="31"/>
      <c r="O36" s="31"/>
      <c r="P36" s="31"/>
      <c r="Q36" s="31"/>
      <c r="R36" s="31"/>
      <c r="S36" s="31"/>
      <c r="T36" s="31"/>
      <c r="U36" s="31"/>
      <c r="V36" s="31"/>
      <c r="W36" s="31"/>
      <c r="X36" s="31"/>
      <c r="Y36" s="45"/>
    </row>
    <row r="37" ht="20" customHeight="1">
      <c r="A37" s="40"/>
      <c r="B37" t="s" s="68">
        <v>209</v>
      </c>
      <c r="C37" s="141" cm="1">
        <f t="array" ref="C37">'BLANK - Monthly Profit &amp; Loss -'!Q38</f>
        <v>0</v>
      </c>
      <c r="D37" s="39"/>
      <c r="E37" s="18"/>
      <c r="F37" s="18"/>
      <c r="G37" s="18"/>
      <c r="H37" s="18"/>
      <c r="I37" s="18"/>
      <c r="J37" s="18"/>
      <c r="K37" s="18"/>
      <c r="L37" s="18"/>
      <c r="M37" s="31"/>
      <c r="N37" s="31"/>
      <c r="O37" s="31"/>
      <c r="P37" s="31"/>
      <c r="Q37" s="31"/>
      <c r="R37" s="31"/>
      <c r="S37" s="31"/>
      <c r="T37" s="31"/>
      <c r="U37" s="31"/>
      <c r="V37" s="31"/>
      <c r="W37" s="31"/>
      <c r="X37" s="31"/>
      <c r="Y37" s="45"/>
    </row>
    <row r="38" ht="20" customHeight="1">
      <c r="A38" s="40"/>
      <c r="B38" t="s" s="68">
        <v>192</v>
      </c>
      <c r="C38" s="141" cm="1">
        <f t="array" ref="C38">'BLANK - Monthly Profit &amp; Loss -'!Q39</f>
        <v>0</v>
      </c>
      <c r="D38" s="39"/>
      <c r="E38" s="18"/>
      <c r="F38" s="18"/>
      <c r="G38" s="18"/>
      <c r="H38" s="18"/>
      <c r="I38" s="18"/>
      <c r="J38" s="18"/>
      <c r="K38" s="18"/>
      <c r="L38" s="18"/>
      <c r="M38" s="31"/>
      <c r="N38" s="31"/>
      <c r="O38" s="31"/>
      <c r="P38" s="31"/>
      <c r="Q38" s="31"/>
      <c r="R38" s="31"/>
      <c r="S38" s="31"/>
      <c r="T38" s="31"/>
      <c r="U38" s="31"/>
      <c r="V38" s="31"/>
      <c r="W38" s="31"/>
      <c r="X38" s="31"/>
      <c r="Y38" s="45"/>
    </row>
    <row r="39" ht="20" customHeight="1">
      <c r="A39" s="40"/>
      <c r="B39" t="s" s="68">
        <v>210</v>
      </c>
      <c r="C39" s="141" cm="1">
        <f t="array" ref="C39">'BLANK - Monthly Profit &amp; Loss -'!Q40</f>
        <v>0</v>
      </c>
      <c r="D39" s="47"/>
      <c r="E39" s="130"/>
      <c r="F39" s="18"/>
      <c r="G39" s="18"/>
      <c r="H39" s="18"/>
      <c r="I39" s="18"/>
      <c r="J39" s="18"/>
      <c r="K39" s="18"/>
      <c r="L39" s="18"/>
      <c r="M39" s="31"/>
      <c r="N39" s="31"/>
      <c r="O39" s="31"/>
      <c r="P39" s="31"/>
      <c r="Q39" s="31"/>
      <c r="R39" s="31"/>
      <c r="S39" s="31"/>
      <c r="T39" s="31"/>
      <c r="U39" s="31"/>
      <c r="V39" s="31"/>
      <c r="W39" s="31"/>
      <c r="X39" s="31"/>
      <c r="Y39" s="45"/>
    </row>
    <row r="40" ht="20" customHeight="1">
      <c r="A40" s="93"/>
      <c r="B40" t="s" s="68">
        <v>211</v>
      </c>
      <c r="C40" s="141" cm="1">
        <f t="array" ref="C40">'BLANK - Monthly Profit &amp; Loss -'!Q41</f>
        <v>0</v>
      </c>
      <c r="D40" s="39"/>
      <c r="E40" s="31"/>
      <c r="F40" s="31"/>
      <c r="G40" s="31"/>
      <c r="H40" s="31"/>
      <c r="I40" s="31"/>
      <c r="J40" s="31"/>
      <c r="K40" s="31"/>
      <c r="L40" s="31"/>
      <c r="M40" s="31"/>
      <c r="N40" s="31"/>
      <c r="O40" s="31"/>
      <c r="P40" s="31"/>
      <c r="Q40" s="31"/>
      <c r="R40" s="31"/>
      <c r="S40" s="31"/>
      <c r="T40" s="31"/>
      <c r="U40" s="31"/>
      <c r="V40" s="31"/>
      <c r="W40" s="31"/>
      <c r="X40" s="31"/>
      <c r="Y40" s="45"/>
    </row>
    <row r="41" ht="20" customHeight="1">
      <c r="A41" s="40"/>
      <c r="B41" t="s" s="68">
        <v>195</v>
      </c>
      <c r="C41" s="141" cm="1">
        <f t="array" ref="C41">'BLANK - Monthly Profit &amp; Loss -'!Q42</f>
        <v>0</v>
      </c>
      <c r="D41" s="47"/>
      <c r="E41" s="18"/>
      <c r="F41" s="18"/>
      <c r="G41" s="18"/>
      <c r="H41" s="18"/>
      <c r="I41" s="18"/>
      <c r="J41" s="18"/>
      <c r="K41" s="18"/>
      <c r="L41" s="18"/>
      <c r="M41" s="31"/>
      <c r="N41" s="31"/>
      <c r="O41" s="31"/>
      <c r="P41" s="31"/>
      <c r="Q41" s="31"/>
      <c r="R41" s="31"/>
      <c r="S41" s="31"/>
      <c r="T41" s="31"/>
      <c r="U41" s="31"/>
      <c r="V41" s="31"/>
      <c r="W41" s="31"/>
      <c r="X41" s="31"/>
      <c r="Y41" s="45"/>
    </row>
    <row r="42" ht="20" customHeight="1">
      <c r="A42" s="40"/>
      <c r="B42" t="s" s="68">
        <v>50</v>
      </c>
      <c r="C42" s="141" cm="1">
        <f t="array" ref="C42">'BLANK - Monthly Profit &amp; Loss -'!Q43</f>
        <v>0</v>
      </c>
      <c r="D42" s="39"/>
      <c r="E42" s="18"/>
      <c r="F42" s="18"/>
      <c r="G42" s="18"/>
      <c r="H42" s="18"/>
      <c r="I42" s="18"/>
      <c r="J42" s="18"/>
      <c r="K42" s="18"/>
      <c r="L42" s="18"/>
      <c r="M42" s="31"/>
      <c r="N42" s="31"/>
      <c r="O42" s="31"/>
      <c r="P42" s="31"/>
      <c r="Q42" s="31"/>
      <c r="R42" s="31"/>
      <c r="S42" s="31"/>
      <c r="T42" s="31"/>
      <c r="U42" s="31"/>
      <c r="V42" s="31"/>
      <c r="W42" s="31"/>
      <c r="X42" s="31"/>
      <c r="Y42" s="45"/>
    </row>
    <row r="43" ht="20" customHeight="1">
      <c r="A43" s="40"/>
      <c r="B43" t="s" s="72">
        <v>51</v>
      </c>
      <c r="C43" s="139" cm="1">
        <f t="array" ref="C43">'BLANK - Monthly Profit &amp; Loss -'!Q44</f>
        <v>0</v>
      </c>
      <c r="D43" s="47"/>
      <c r="E43" s="18"/>
      <c r="F43" s="18"/>
      <c r="G43" s="18"/>
      <c r="H43" s="18"/>
      <c r="I43" s="18"/>
      <c r="J43" s="18"/>
      <c r="K43" s="18"/>
      <c r="L43" s="18"/>
      <c r="M43" s="31"/>
      <c r="N43" s="31"/>
      <c r="O43" s="31"/>
      <c r="P43" s="31"/>
      <c r="Q43" s="31"/>
      <c r="R43" s="31"/>
      <c r="S43" s="31"/>
      <c r="T43" s="31"/>
      <c r="U43" s="31"/>
      <c r="V43" s="31"/>
      <c r="W43" s="31"/>
      <c r="X43" s="31"/>
      <c r="Y43" s="45"/>
    </row>
    <row r="44" ht="20" customHeight="1">
      <c r="A44" s="27"/>
      <c r="B44" s="97"/>
      <c r="C44" s="97"/>
      <c r="D44" s="18"/>
      <c r="E44" s="18"/>
      <c r="F44" s="18"/>
      <c r="G44" s="18"/>
      <c r="H44" s="18"/>
      <c r="I44" s="18"/>
      <c r="J44" s="18"/>
      <c r="K44" s="18"/>
      <c r="L44" s="18"/>
      <c r="M44" s="31"/>
      <c r="N44" s="31"/>
      <c r="O44" s="31"/>
      <c r="P44" s="31"/>
      <c r="Q44" s="31"/>
      <c r="R44" s="31"/>
      <c r="S44" s="31"/>
      <c r="T44" s="31"/>
      <c r="U44" s="31"/>
      <c r="V44" s="31"/>
      <c r="W44" s="31"/>
      <c r="X44" s="31"/>
      <c r="Y44" s="45"/>
    </row>
    <row r="45" ht="20" customHeight="1">
      <c r="A45" s="40"/>
      <c r="B45" t="s" s="92">
        <v>154</v>
      </c>
      <c r="C45" t="str" s="126" cm="1">
        <f t="array" ref="C45">'BLANK - Monthly Profit &amp; Loss -'!Q46</f>
        <v>YTD</v>
      </c>
      <c r="D45" s="47"/>
      <c r="E45" s="18"/>
      <c r="F45" s="18"/>
      <c r="G45" s="18"/>
      <c r="H45" s="18"/>
      <c r="I45" s="18"/>
      <c r="J45" s="18"/>
      <c r="K45" s="18"/>
      <c r="L45" s="18"/>
      <c r="M45" s="31"/>
      <c r="N45" s="31"/>
      <c r="O45" s="31"/>
      <c r="P45" s="31"/>
      <c r="Q45" s="31"/>
      <c r="R45" s="31"/>
      <c r="S45" s="31"/>
      <c r="T45" s="31"/>
      <c r="U45" s="31"/>
      <c r="V45" s="31"/>
      <c r="W45" s="31"/>
      <c r="X45" s="31"/>
      <c r="Y45" s="45"/>
    </row>
    <row r="46" ht="20" customHeight="1">
      <c r="A46" s="40"/>
      <c r="B46" t="s" s="68">
        <v>212</v>
      </c>
      <c r="C46" s="141" cm="1">
        <f t="array" ref="C46">'BLANK - Monthly Profit &amp; Loss -'!Q47</f>
        <v>0</v>
      </c>
      <c r="D46" s="47"/>
      <c r="E46" s="18"/>
      <c r="F46" s="18"/>
      <c r="G46" s="18"/>
      <c r="H46" s="18"/>
      <c r="I46" s="18"/>
      <c r="J46" s="18"/>
      <c r="K46" s="18"/>
      <c r="L46" s="18"/>
      <c r="M46" s="31"/>
      <c r="N46" s="31"/>
      <c r="O46" s="31"/>
      <c r="P46" s="31"/>
      <c r="Q46" s="31"/>
      <c r="R46" s="31"/>
      <c r="S46" s="31"/>
      <c r="T46" s="31"/>
      <c r="U46" s="31"/>
      <c r="V46" s="31"/>
      <c r="W46" s="31"/>
      <c r="X46" s="31"/>
      <c r="Y46" s="45"/>
    </row>
    <row r="47" ht="20" customHeight="1">
      <c r="A47" s="40"/>
      <c r="B47" t="s" s="68">
        <v>156</v>
      </c>
      <c r="C47" s="141" cm="1">
        <f t="array" ref="C47">'BLANK - Monthly Profit &amp; Loss -'!Q48</f>
        <v>0</v>
      </c>
      <c r="D47" s="47"/>
      <c r="E47" s="18"/>
      <c r="F47" s="18"/>
      <c r="G47" s="18"/>
      <c r="H47" s="18"/>
      <c r="I47" s="18"/>
      <c r="J47" s="18"/>
      <c r="K47" s="18"/>
      <c r="L47" s="18"/>
      <c r="M47" s="31"/>
      <c r="N47" s="31"/>
      <c r="O47" s="31"/>
      <c r="P47" s="31"/>
      <c r="Q47" s="31"/>
      <c r="R47" s="31"/>
      <c r="S47" s="31"/>
      <c r="T47" s="31"/>
      <c r="U47" s="31"/>
      <c r="V47" s="31"/>
      <c r="W47" s="31"/>
      <c r="X47" s="31"/>
      <c r="Y47" s="45"/>
    </row>
    <row r="48" ht="20" customHeight="1">
      <c r="A48" s="40"/>
      <c r="B48" t="s" s="68">
        <v>157</v>
      </c>
      <c r="C48" s="141" cm="1">
        <f t="array" ref="C48">'BLANK - Monthly Profit &amp; Loss -'!Q49</f>
        <v>0</v>
      </c>
      <c r="D48" s="47"/>
      <c r="E48" s="18"/>
      <c r="F48" s="18"/>
      <c r="G48" s="18"/>
      <c r="H48" s="18"/>
      <c r="I48" s="18"/>
      <c r="J48" s="18"/>
      <c r="K48" s="18"/>
      <c r="L48" s="18"/>
      <c r="M48" s="31"/>
      <c r="N48" s="31"/>
      <c r="O48" s="31"/>
      <c r="P48" s="31"/>
      <c r="Q48" s="31"/>
      <c r="R48" s="31"/>
      <c r="S48" s="31"/>
      <c r="T48" s="31"/>
      <c r="U48" s="31"/>
      <c r="V48" s="31"/>
      <c r="W48" s="31"/>
      <c r="X48" s="31"/>
      <c r="Y48" s="45"/>
    </row>
    <row r="49" ht="20" customHeight="1">
      <c r="A49" s="40"/>
      <c r="B49" t="s" s="68">
        <v>50</v>
      </c>
      <c r="C49" s="141" cm="1">
        <f t="array" ref="C49">'BLANK - Monthly Profit &amp; Loss -'!Q50</f>
        <v>0</v>
      </c>
      <c r="D49" s="47"/>
      <c r="E49" s="18"/>
      <c r="F49" s="18"/>
      <c r="G49" s="18"/>
      <c r="H49" s="18"/>
      <c r="I49" s="18"/>
      <c r="J49" s="18"/>
      <c r="K49" s="18"/>
      <c r="L49" s="18"/>
      <c r="M49" s="31"/>
      <c r="N49" s="31"/>
      <c r="O49" s="31"/>
      <c r="P49" s="31"/>
      <c r="Q49" s="31"/>
      <c r="R49" s="31"/>
      <c r="S49" s="31"/>
      <c r="T49" s="31"/>
      <c r="U49" s="31"/>
      <c r="V49" s="31"/>
      <c r="W49" s="31"/>
      <c r="X49" s="31"/>
      <c r="Y49" s="45"/>
    </row>
    <row r="50" ht="20" customHeight="1">
      <c r="A50" s="40"/>
      <c r="B50" t="s" s="68">
        <v>50</v>
      </c>
      <c r="C50" s="141" cm="1">
        <f t="array" ref="C50">'BLANK - Monthly Profit &amp; Loss -'!Q51</f>
        <v>0</v>
      </c>
      <c r="D50" s="47"/>
      <c r="E50" s="18"/>
      <c r="F50" s="18"/>
      <c r="G50" s="18"/>
      <c r="H50" s="18"/>
      <c r="I50" s="18"/>
      <c r="J50" s="18"/>
      <c r="K50" s="18"/>
      <c r="L50" s="18"/>
      <c r="M50" s="31"/>
      <c r="N50" s="31"/>
      <c r="O50" s="31"/>
      <c r="P50" s="31"/>
      <c r="Q50" s="31"/>
      <c r="R50" s="31"/>
      <c r="S50" s="31"/>
      <c r="T50" s="31"/>
      <c r="U50" s="31"/>
      <c r="V50" s="31"/>
      <c r="W50" s="31"/>
      <c r="X50" s="31"/>
      <c r="Y50" s="45"/>
    </row>
    <row r="51" ht="20" customHeight="1">
      <c r="A51" s="40"/>
      <c r="B51" s="98"/>
      <c r="C51" s="139" cm="1">
        <f t="array" ref="C51">'BLANK - Monthly Profit &amp; Loss -'!Q52</f>
        <v>0</v>
      </c>
      <c r="D51" s="47"/>
      <c r="E51" s="18"/>
      <c r="F51" s="18"/>
      <c r="G51" s="18"/>
      <c r="H51" s="18"/>
      <c r="I51" s="18"/>
      <c r="J51" s="18"/>
      <c r="K51" s="18"/>
      <c r="L51" s="18"/>
      <c r="M51" s="31"/>
      <c r="N51" s="31"/>
      <c r="O51" s="31"/>
      <c r="P51" s="31"/>
      <c r="Q51" s="31"/>
      <c r="R51" s="31"/>
      <c r="S51" s="31"/>
      <c r="T51" s="31"/>
      <c r="U51" s="31"/>
      <c r="V51" s="31"/>
      <c r="W51" s="31"/>
      <c r="X51" s="31"/>
      <c r="Y51" s="45"/>
    </row>
    <row r="52" ht="20" customHeight="1">
      <c r="A52" s="27"/>
      <c r="B52" s="97"/>
      <c r="C52" s="97"/>
      <c r="D52" s="18"/>
      <c r="E52" s="18"/>
      <c r="F52" s="18"/>
      <c r="G52" s="18"/>
      <c r="H52" s="18"/>
      <c r="I52" s="18"/>
      <c r="J52" s="18"/>
      <c r="K52" s="18"/>
      <c r="L52" s="18"/>
      <c r="M52" s="31"/>
      <c r="N52" s="31"/>
      <c r="O52" s="31"/>
      <c r="P52" s="31"/>
      <c r="Q52" s="31"/>
      <c r="R52" s="31"/>
      <c r="S52" s="31"/>
      <c r="T52" s="31"/>
      <c r="U52" s="31"/>
      <c r="V52" s="31"/>
      <c r="W52" s="31"/>
      <c r="X52" s="31"/>
      <c r="Y52" s="45"/>
    </row>
    <row r="53" ht="20" customHeight="1">
      <c r="A53" s="40"/>
      <c r="B53" t="s" s="92">
        <v>60</v>
      </c>
      <c r="C53" t="str" s="126" cm="1">
        <f t="array" ref="C53">'BLANK - Monthly Profit &amp; Loss -'!Q54</f>
        <v>YTD</v>
      </c>
      <c r="D53" s="47"/>
      <c r="E53" s="18"/>
      <c r="F53" s="18"/>
      <c r="G53" s="18"/>
      <c r="H53" s="18"/>
      <c r="I53" s="18"/>
      <c r="J53" s="18"/>
      <c r="K53" s="18"/>
      <c r="L53" s="18"/>
      <c r="M53" s="31"/>
      <c r="N53" s="31"/>
      <c r="O53" s="31"/>
      <c r="P53" s="31"/>
      <c r="Q53" s="31"/>
      <c r="R53" s="31"/>
      <c r="S53" s="31"/>
      <c r="T53" s="31"/>
      <c r="U53" s="31"/>
      <c r="V53" s="31"/>
      <c r="W53" s="31"/>
      <c r="X53" s="31"/>
      <c r="Y53" s="45"/>
    </row>
    <row r="54" ht="20" customHeight="1">
      <c r="A54" s="40"/>
      <c r="B54" t="s" s="68">
        <v>159</v>
      </c>
      <c r="C54" s="141" cm="1">
        <f t="array" ref="C54">'BLANK - Monthly Profit &amp; Loss -'!Q55</f>
        <v>0</v>
      </c>
      <c r="D54" s="47"/>
      <c r="E54" s="18"/>
      <c r="F54" s="18"/>
      <c r="G54" s="18"/>
      <c r="H54" s="18"/>
      <c r="I54" s="18"/>
      <c r="J54" s="18"/>
      <c r="K54" s="18"/>
      <c r="L54" s="18"/>
      <c r="M54" s="31"/>
      <c r="N54" s="31"/>
      <c r="O54" s="31"/>
      <c r="P54" s="31"/>
      <c r="Q54" s="31"/>
      <c r="R54" s="31"/>
      <c r="S54" s="31"/>
      <c r="T54" s="31"/>
      <c r="U54" s="31"/>
      <c r="V54" s="31"/>
      <c r="W54" s="31"/>
      <c r="X54" s="31"/>
      <c r="Y54" s="45"/>
    </row>
    <row r="55" ht="20" customHeight="1">
      <c r="A55" s="40"/>
      <c r="B55" t="s" s="68">
        <v>160</v>
      </c>
      <c r="C55" s="141" cm="1">
        <f t="array" ref="C55">'BLANK - Monthly Profit &amp; Loss -'!Q56</f>
        <v>0</v>
      </c>
      <c r="D55" s="47"/>
      <c r="E55" s="18"/>
      <c r="F55" s="18"/>
      <c r="G55" s="18"/>
      <c r="H55" s="18"/>
      <c r="I55" s="18"/>
      <c r="J55" s="18"/>
      <c r="K55" s="18"/>
      <c r="L55" s="18"/>
      <c r="M55" s="31"/>
      <c r="N55" s="31"/>
      <c r="O55" s="31"/>
      <c r="P55" s="31"/>
      <c r="Q55" s="31"/>
      <c r="R55" s="31"/>
      <c r="S55" s="31"/>
      <c r="T55" s="31"/>
      <c r="U55" s="31"/>
      <c r="V55" s="31"/>
      <c r="W55" s="31"/>
      <c r="X55" s="31"/>
      <c r="Y55" s="45"/>
    </row>
    <row r="56" ht="20" customHeight="1">
      <c r="A56" s="40"/>
      <c r="B56" t="s" s="68">
        <v>161</v>
      </c>
      <c r="C56" s="141" cm="1">
        <f t="array" ref="C56">'BLANK - Monthly Profit &amp; Loss -'!Q57</f>
        <v>0</v>
      </c>
      <c r="D56" s="47"/>
      <c r="E56" s="18"/>
      <c r="F56" s="18"/>
      <c r="G56" s="18"/>
      <c r="H56" s="18"/>
      <c r="I56" s="18"/>
      <c r="J56" s="18"/>
      <c r="K56" s="18"/>
      <c r="L56" s="18"/>
      <c r="M56" s="31"/>
      <c r="N56" s="31"/>
      <c r="O56" s="31"/>
      <c r="P56" s="31"/>
      <c r="Q56" s="31"/>
      <c r="R56" s="31"/>
      <c r="S56" s="31"/>
      <c r="T56" s="31"/>
      <c r="U56" s="31"/>
      <c r="V56" s="31"/>
      <c r="W56" s="31"/>
      <c r="X56" s="31"/>
      <c r="Y56" s="45"/>
    </row>
    <row r="57" ht="20" customHeight="1">
      <c r="A57" s="40"/>
      <c r="B57" t="s" s="68">
        <v>64</v>
      </c>
      <c r="C57" s="141" cm="1">
        <f t="array" ref="C57">'BLANK - Monthly Profit &amp; Loss -'!Q58</f>
        <v>0</v>
      </c>
      <c r="D57" s="47"/>
      <c r="E57" s="18"/>
      <c r="F57" s="18"/>
      <c r="G57" s="18"/>
      <c r="H57" s="18"/>
      <c r="I57" s="18"/>
      <c r="J57" s="18"/>
      <c r="K57" s="18"/>
      <c r="L57" s="18"/>
      <c r="M57" s="31"/>
      <c r="N57" s="31"/>
      <c r="O57" s="31"/>
      <c r="P57" s="31"/>
      <c r="Q57" s="31"/>
      <c r="R57" s="31"/>
      <c r="S57" s="31"/>
      <c r="T57" s="31"/>
      <c r="U57" s="31"/>
      <c r="V57" s="31"/>
      <c r="W57" s="31"/>
      <c r="X57" s="31"/>
      <c r="Y57" s="45"/>
    </row>
    <row r="58" ht="20" customHeight="1">
      <c r="A58" s="40"/>
      <c r="B58" t="s" s="68">
        <v>162</v>
      </c>
      <c r="C58" s="141" cm="1">
        <f t="array" ref="C58">'BLANK - Monthly Profit &amp; Loss -'!Q59</f>
        <v>0</v>
      </c>
      <c r="D58" s="47"/>
      <c r="E58" s="18"/>
      <c r="F58" s="18"/>
      <c r="G58" s="18"/>
      <c r="H58" s="18"/>
      <c r="I58" s="18"/>
      <c r="J58" s="18"/>
      <c r="K58" s="18"/>
      <c r="L58" s="18"/>
      <c r="M58" s="31"/>
      <c r="N58" s="31"/>
      <c r="O58" s="31"/>
      <c r="P58" s="31"/>
      <c r="Q58" s="31"/>
      <c r="R58" s="31"/>
      <c r="S58" s="31"/>
      <c r="T58" s="31"/>
      <c r="U58" s="31"/>
      <c r="V58" s="31"/>
      <c r="W58" s="31"/>
      <c r="X58" s="31"/>
      <c r="Y58" s="45"/>
    </row>
    <row r="59" ht="20" customHeight="1">
      <c r="A59" s="40"/>
      <c r="B59" t="s" s="68">
        <v>50</v>
      </c>
      <c r="C59" s="141" cm="1">
        <f t="array" ref="C59">'BLANK - Monthly Profit &amp; Loss -'!Q60</f>
        <v>0</v>
      </c>
      <c r="D59" s="47"/>
      <c r="E59" s="18"/>
      <c r="F59" s="18"/>
      <c r="G59" s="18"/>
      <c r="H59" s="18"/>
      <c r="I59" s="18"/>
      <c r="J59" s="18"/>
      <c r="K59" s="18"/>
      <c r="L59" s="18"/>
      <c r="M59" s="31"/>
      <c r="N59" s="31"/>
      <c r="O59" s="31"/>
      <c r="P59" s="31"/>
      <c r="Q59" s="31"/>
      <c r="R59" s="31"/>
      <c r="S59" s="31"/>
      <c r="T59" s="31"/>
      <c r="U59" s="31"/>
      <c r="V59" s="31"/>
      <c r="W59" s="31"/>
      <c r="X59" s="31"/>
      <c r="Y59" s="45"/>
    </row>
    <row r="60" ht="20" customHeight="1">
      <c r="A60" s="40"/>
      <c r="B60" t="s" s="72">
        <v>66</v>
      </c>
      <c r="C60" s="139" cm="1">
        <f t="array" ref="C60">'BLANK - Monthly Profit &amp; Loss -'!Q61</f>
        <v>0</v>
      </c>
      <c r="D60" s="47"/>
      <c r="E60" s="18"/>
      <c r="F60" s="18"/>
      <c r="G60" s="18"/>
      <c r="H60" s="18"/>
      <c r="I60" s="18"/>
      <c r="J60" s="18"/>
      <c r="K60" s="18"/>
      <c r="L60" s="18"/>
      <c r="M60" s="31"/>
      <c r="N60" s="31"/>
      <c r="O60" s="31"/>
      <c r="P60" s="31"/>
      <c r="Q60" s="31"/>
      <c r="R60" s="31"/>
      <c r="S60" s="31"/>
      <c r="T60" s="31"/>
      <c r="U60" s="31"/>
      <c r="V60" s="31"/>
      <c r="W60" s="31"/>
      <c r="X60" s="31"/>
      <c r="Y60" s="45"/>
    </row>
    <row r="61" ht="20" customHeight="1">
      <c r="A61" s="27"/>
      <c r="B61" s="97"/>
      <c r="C61" s="97"/>
      <c r="D61" s="18"/>
      <c r="E61" s="18"/>
      <c r="F61" s="18"/>
      <c r="G61" s="18"/>
      <c r="H61" s="18"/>
      <c r="I61" s="18"/>
      <c r="J61" s="18"/>
      <c r="K61" s="18"/>
      <c r="L61" s="18"/>
      <c r="M61" s="31"/>
      <c r="N61" s="31"/>
      <c r="O61" s="31"/>
      <c r="P61" s="31"/>
      <c r="Q61" s="31"/>
      <c r="R61" s="31"/>
      <c r="S61" s="31"/>
      <c r="T61" s="31"/>
      <c r="U61" s="31"/>
      <c r="V61" s="31"/>
      <c r="W61" s="31"/>
      <c r="X61" s="31"/>
      <c r="Y61" s="45"/>
    </row>
    <row r="62" ht="20" customHeight="1">
      <c r="A62" s="40"/>
      <c r="B62" t="s" s="92">
        <v>67</v>
      </c>
      <c r="C62" t="str" s="126" cm="1">
        <f t="array" ref="C62">'BLANK - Monthly Profit &amp; Loss -'!Q63</f>
        <v>YTD</v>
      </c>
      <c r="D62" s="47"/>
      <c r="E62" s="18"/>
      <c r="F62" s="18"/>
      <c r="G62" s="18"/>
      <c r="H62" s="18"/>
      <c r="I62" s="18"/>
      <c r="J62" s="18"/>
      <c r="K62" s="18"/>
      <c r="L62" s="18"/>
      <c r="M62" s="31"/>
      <c r="N62" s="31"/>
      <c r="O62" s="31"/>
      <c r="P62" s="31"/>
      <c r="Q62" s="31"/>
      <c r="R62" s="31"/>
      <c r="S62" s="31"/>
      <c r="T62" s="31"/>
      <c r="U62" s="31"/>
      <c r="V62" s="31"/>
      <c r="W62" s="31"/>
      <c r="X62" s="31"/>
      <c r="Y62" s="45"/>
    </row>
    <row r="63" ht="20" customHeight="1">
      <c r="A63" s="40"/>
      <c r="B63" t="s" s="68">
        <v>163</v>
      </c>
      <c r="C63" s="141" cm="1">
        <f t="array" ref="C63">'BLANK - Monthly Profit &amp; Loss -'!Q64</f>
        <v>0</v>
      </c>
      <c r="D63" s="47"/>
      <c r="E63" s="18"/>
      <c r="F63" s="18"/>
      <c r="G63" s="18"/>
      <c r="H63" s="18"/>
      <c r="I63" s="18"/>
      <c r="J63" s="18"/>
      <c r="K63" s="18"/>
      <c r="L63" s="18"/>
      <c r="M63" s="31"/>
      <c r="N63" s="31"/>
      <c r="O63" s="31"/>
      <c r="P63" s="31"/>
      <c r="Q63" s="31"/>
      <c r="R63" s="31"/>
      <c r="S63" s="31"/>
      <c r="T63" s="31"/>
      <c r="U63" s="31"/>
      <c r="V63" s="31"/>
      <c r="W63" s="31"/>
      <c r="X63" s="31"/>
      <c r="Y63" s="45"/>
    </row>
    <row r="64" ht="20" customHeight="1">
      <c r="A64" s="40"/>
      <c r="B64" t="s" s="68">
        <v>164</v>
      </c>
      <c r="C64" s="141" cm="1">
        <f t="array" ref="C64">'BLANK - Monthly Profit &amp; Loss -'!Q65</f>
        <v>0</v>
      </c>
      <c r="D64" s="47"/>
      <c r="E64" s="18"/>
      <c r="F64" s="18"/>
      <c r="G64" s="18"/>
      <c r="H64" s="18"/>
      <c r="I64" s="18"/>
      <c r="J64" s="18"/>
      <c r="K64" s="18"/>
      <c r="L64" s="18"/>
      <c r="M64" s="31"/>
      <c r="N64" s="31"/>
      <c r="O64" s="31"/>
      <c r="P64" s="31"/>
      <c r="Q64" s="31"/>
      <c r="R64" s="31"/>
      <c r="S64" s="31"/>
      <c r="T64" s="31"/>
      <c r="U64" s="31"/>
      <c r="V64" s="31"/>
      <c r="W64" s="31"/>
      <c r="X64" s="31"/>
      <c r="Y64" s="45"/>
    </row>
    <row r="65" ht="20" customHeight="1">
      <c r="A65" s="40"/>
      <c r="B65" t="s" s="68">
        <v>165</v>
      </c>
      <c r="C65" s="141" cm="1">
        <f t="array" ref="C65">'BLANK - Monthly Profit &amp; Loss -'!Q66</f>
        <v>0</v>
      </c>
      <c r="D65" s="47"/>
      <c r="E65" s="18"/>
      <c r="F65" s="18"/>
      <c r="G65" s="18"/>
      <c r="H65" s="18"/>
      <c r="I65" s="18"/>
      <c r="J65" s="18"/>
      <c r="K65" s="18"/>
      <c r="L65" s="18"/>
      <c r="M65" s="31"/>
      <c r="N65" s="31"/>
      <c r="O65" s="31"/>
      <c r="P65" s="31"/>
      <c r="Q65" s="31"/>
      <c r="R65" s="31"/>
      <c r="S65" s="31"/>
      <c r="T65" s="31"/>
      <c r="U65" s="31"/>
      <c r="V65" s="31"/>
      <c r="W65" s="31"/>
      <c r="X65" s="31"/>
      <c r="Y65" s="45"/>
    </row>
    <row r="66" ht="20" customHeight="1">
      <c r="A66" s="40"/>
      <c r="B66" t="s" s="68">
        <v>166</v>
      </c>
      <c r="C66" s="141" cm="1">
        <f t="array" ref="C66">'BLANK - Monthly Profit &amp; Loss -'!Q67</f>
        <v>0</v>
      </c>
      <c r="D66" s="47"/>
      <c r="E66" s="18"/>
      <c r="F66" s="18"/>
      <c r="G66" s="18"/>
      <c r="H66" s="18"/>
      <c r="I66" s="18"/>
      <c r="J66" s="18"/>
      <c r="K66" s="18"/>
      <c r="L66" s="18"/>
      <c r="M66" s="31"/>
      <c r="N66" s="31"/>
      <c r="O66" s="31"/>
      <c r="P66" s="31"/>
      <c r="Q66" s="31"/>
      <c r="R66" s="31"/>
      <c r="S66" s="31"/>
      <c r="T66" s="31"/>
      <c r="U66" s="31"/>
      <c r="V66" s="31"/>
      <c r="W66" s="31"/>
      <c r="X66" s="31"/>
      <c r="Y66" s="45"/>
    </row>
    <row r="67" ht="20" customHeight="1">
      <c r="A67" s="40"/>
      <c r="B67" t="s" s="68">
        <v>71</v>
      </c>
      <c r="C67" s="141" cm="1">
        <f t="array" ref="C67">'BLANK - Monthly Profit &amp; Loss -'!Q68</f>
        <v>0</v>
      </c>
      <c r="D67" s="47"/>
      <c r="E67" s="18"/>
      <c r="F67" s="18"/>
      <c r="G67" s="18"/>
      <c r="H67" s="18"/>
      <c r="I67" s="18"/>
      <c r="J67" s="18"/>
      <c r="K67" s="18"/>
      <c r="L67" s="18"/>
      <c r="M67" s="31"/>
      <c r="N67" s="31"/>
      <c r="O67" s="31"/>
      <c r="P67" s="31"/>
      <c r="Q67" s="31"/>
      <c r="R67" s="31"/>
      <c r="S67" s="31"/>
      <c r="T67" s="31"/>
      <c r="U67" s="31"/>
      <c r="V67" s="31"/>
      <c r="W67" s="31"/>
      <c r="X67" s="31"/>
      <c r="Y67" s="45"/>
    </row>
    <row r="68" ht="20" customHeight="1">
      <c r="A68" s="40"/>
      <c r="B68" t="s" s="68">
        <v>167</v>
      </c>
      <c r="C68" s="141" cm="1">
        <f t="array" ref="C68">'BLANK - Monthly Profit &amp; Loss -'!Q69</f>
        <v>0</v>
      </c>
      <c r="D68" s="47"/>
      <c r="E68" s="18"/>
      <c r="F68" s="18"/>
      <c r="G68" s="18"/>
      <c r="H68" s="18"/>
      <c r="I68" s="18"/>
      <c r="J68" s="18"/>
      <c r="K68" s="18"/>
      <c r="L68" s="18"/>
      <c r="M68" s="31"/>
      <c r="N68" s="31"/>
      <c r="O68" s="31"/>
      <c r="P68" s="31"/>
      <c r="Q68" s="31"/>
      <c r="R68" s="31"/>
      <c r="S68" s="31"/>
      <c r="T68" s="31"/>
      <c r="U68" s="31"/>
      <c r="V68" s="31"/>
      <c r="W68" s="31"/>
      <c r="X68" s="31"/>
      <c r="Y68" s="45"/>
    </row>
    <row r="69" ht="20" customHeight="1">
      <c r="A69" s="40"/>
      <c r="B69" t="s" s="68">
        <v>168</v>
      </c>
      <c r="C69" s="141" cm="1">
        <f t="array" ref="C69">'BLANK - Monthly Profit &amp; Loss -'!Q70</f>
        <v>0</v>
      </c>
      <c r="D69" s="47"/>
      <c r="E69" s="18"/>
      <c r="F69" s="18"/>
      <c r="G69" s="18"/>
      <c r="H69" s="18"/>
      <c r="I69" s="18"/>
      <c r="J69" s="18"/>
      <c r="K69" s="18"/>
      <c r="L69" s="18"/>
      <c r="M69" s="31"/>
      <c r="N69" s="31"/>
      <c r="O69" s="31"/>
      <c r="P69" s="31"/>
      <c r="Q69" s="31"/>
      <c r="R69" s="31"/>
      <c r="S69" s="31"/>
      <c r="T69" s="31"/>
      <c r="U69" s="31"/>
      <c r="V69" s="31"/>
      <c r="W69" s="31"/>
      <c r="X69" s="31"/>
      <c r="Y69" s="45"/>
    </row>
    <row r="70" ht="20" customHeight="1">
      <c r="A70" s="40"/>
      <c r="B70" t="s" s="68">
        <v>169</v>
      </c>
      <c r="C70" s="141" cm="1">
        <f t="array" ref="C70">'BLANK - Monthly Profit &amp; Loss -'!Q71</f>
        <v>0</v>
      </c>
      <c r="D70" s="47"/>
      <c r="E70" s="18"/>
      <c r="F70" s="18"/>
      <c r="G70" s="18"/>
      <c r="H70" s="18"/>
      <c r="I70" s="18"/>
      <c r="J70" s="18"/>
      <c r="K70" s="18"/>
      <c r="L70" s="18"/>
      <c r="M70" s="31"/>
      <c r="N70" s="31"/>
      <c r="O70" s="31"/>
      <c r="P70" s="31"/>
      <c r="Q70" s="31"/>
      <c r="R70" s="31"/>
      <c r="S70" s="31"/>
      <c r="T70" s="31"/>
      <c r="U70" s="31"/>
      <c r="V70" s="31"/>
      <c r="W70" s="31"/>
      <c r="X70" s="31"/>
      <c r="Y70" s="45"/>
    </row>
    <row r="71" ht="20" customHeight="1">
      <c r="A71" s="40"/>
      <c r="B71" t="s" s="68">
        <v>78</v>
      </c>
      <c r="C71" s="141" cm="1">
        <f t="array" ref="C71">'BLANK - Monthly Profit &amp; Loss -'!Q72</f>
        <v>0</v>
      </c>
      <c r="D71" s="47"/>
      <c r="E71" s="18"/>
      <c r="F71" s="18"/>
      <c r="G71" s="18"/>
      <c r="H71" s="18"/>
      <c r="I71" s="18"/>
      <c r="J71" s="18"/>
      <c r="K71" s="18"/>
      <c r="L71" s="18"/>
      <c r="M71" s="31"/>
      <c r="N71" s="31"/>
      <c r="O71" s="31"/>
      <c r="P71" s="31"/>
      <c r="Q71" s="31"/>
      <c r="R71" s="31"/>
      <c r="S71" s="31"/>
      <c r="T71" s="31"/>
      <c r="U71" s="31"/>
      <c r="V71" s="31"/>
      <c r="W71" s="31"/>
      <c r="X71" s="31"/>
      <c r="Y71" s="45"/>
    </row>
    <row r="72" ht="20" customHeight="1">
      <c r="A72" s="40"/>
      <c r="B72" t="s" s="68">
        <v>79</v>
      </c>
      <c r="C72" s="141" cm="1">
        <f t="array" ref="C72">'BLANK - Monthly Profit &amp; Loss -'!Q73</f>
        <v>0</v>
      </c>
      <c r="D72" s="47"/>
      <c r="E72" s="18"/>
      <c r="F72" s="18"/>
      <c r="G72" s="18"/>
      <c r="H72" s="18"/>
      <c r="I72" s="18"/>
      <c r="J72" s="18"/>
      <c r="K72" s="18"/>
      <c r="L72" s="18"/>
      <c r="M72" s="31"/>
      <c r="N72" s="31"/>
      <c r="O72" s="31"/>
      <c r="P72" s="31"/>
      <c r="Q72" s="31"/>
      <c r="R72" s="31"/>
      <c r="S72" s="31"/>
      <c r="T72" s="31"/>
      <c r="U72" s="31"/>
      <c r="V72" s="31"/>
      <c r="W72" s="31"/>
      <c r="X72" s="31"/>
      <c r="Y72" s="45"/>
    </row>
    <row r="73" ht="20" customHeight="1">
      <c r="A73" s="40"/>
      <c r="B73" t="s" s="68">
        <v>170</v>
      </c>
      <c r="C73" s="141" cm="1">
        <f t="array" ref="C73">'BLANK - Monthly Profit &amp; Loss -'!Q74</f>
        <v>0</v>
      </c>
      <c r="D73" s="47"/>
      <c r="E73" s="18"/>
      <c r="F73" s="18"/>
      <c r="G73" s="18"/>
      <c r="H73" s="18"/>
      <c r="I73" s="18"/>
      <c r="J73" s="18"/>
      <c r="K73" s="18"/>
      <c r="L73" s="18"/>
      <c r="M73" s="31"/>
      <c r="N73" s="31"/>
      <c r="O73" s="31"/>
      <c r="P73" s="31"/>
      <c r="Q73" s="31"/>
      <c r="R73" s="31"/>
      <c r="S73" s="31"/>
      <c r="T73" s="31"/>
      <c r="U73" s="31"/>
      <c r="V73" s="31"/>
      <c r="W73" s="31"/>
      <c r="X73" s="31"/>
      <c r="Y73" s="45"/>
    </row>
    <row r="74" ht="20" customHeight="1">
      <c r="A74" s="40"/>
      <c r="B74" t="s" s="68">
        <v>171</v>
      </c>
      <c r="C74" s="141" cm="1">
        <f t="array" ref="C74">'BLANK - Monthly Profit &amp; Loss -'!Q75</f>
        <v>0</v>
      </c>
      <c r="D74" s="47"/>
      <c r="E74" s="18"/>
      <c r="F74" s="18"/>
      <c r="G74" s="18"/>
      <c r="H74" s="18"/>
      <c r="I74" s="18"/>
      <c r="J74" s="18"/>
      <c r="K74" s="18"/>
      <c r="L74" s="18"/>
      <c r="M74" s="31"/>
      <c r="N74" s="31"/>
      <c r="O74" s="31"/>
      <c r="P74" s="31"/>
      <c r="Q74" s="31"/>
      <c r="R74" s="31"/>
      <c r="S74" s="31"/>
      <c r="T74" s="31"/>
      <c r="U74" s="31"/>
      <c r="V74" s="31"/>
      <c r="W74" s="31"/>
      <c r="X74" s="31"/>
      <c r="Y74" s="45"/>
    </row>
    <row r="75" ht="20" customHeight="1">
      <c r="A75" s="40"/>
      <c r="B75" t="s" s="68">
        <v>82</v>
      </c>
      <c r="C75" s="141" cm="1">
        <f t="array" ref="C75">'BLANK - Monthly Profit &amp; Loss -'!Q76</f>
        <v>0</v>
      </c>
      <c r="D75" s="47"/>
      <c r="E75" s="18"/>
      <c r="F75" s="18"/>
      <c r="G75" s="18"/>
      <c r="H75" s="18"/>
      <c r="I75" s="18"/>
      <c r="J75" s="18"/>
      <c r="K75" s="18"/>
      <c r="L75" s="18"/>
      <c r="M75" s="31"/>
      <c r="N75" s="31"/>
      <c r="O75" s="31"/>
      <c r="P75" s="31"/>
      <c r="Q75" s="31"/>
      <c r="R75" s="31"/>
      <c r="S75" s="31"/>
      <c r="T75" s="31"/>
      <c r="U75" s="31"/>
      <c r="V75" s="31"/>
      <c r="W75" s="31"/>
      <c r="X75" s="31"/>
      <c r="Y75" s="45"/>
    </row>
    <row r="76" ht="20" customHeight="1">
      <c r="A76" s="40"/>
      <c r="B76" t="s" s="68">
        <v>172</v>
      </c>
      <c r="C76" s="141" cm="1">
        <f t="array" ref="C76">'BLANK - Monthly Profit &amp; Loss -'!Q77</f>
        <v>0</v>
      </c>
      <c r="D76" s="47"/>
      <c r="E76" s="18"/>
      <c r="F76" s="18"/>
      <c r="G76" s="18"/>
      <c r="H76" s="18"/>
      <c r="I76" s="18"/>
      <c r="J76" s="18"/>
      <c r="K76" s="18"/>
      <c r="L76" s="18"/>
      <c r="M76" s="31"/>
      <c r="N76" s="31"/>
      <c r="O76" s="31"/>
      <c r="P76" s="31"/>
      <c r="Q76" s="31"/>
      <c r="R76" s="31"/>
      <c r="S76" s="31"/>
      <c r="T76" s="31"/>
      <c r="U76" s="31"/>
      <c r="V76" s="31"/>
      <c r="W76" s="31"/>
      <c r="X76" s="31"/>
      <c r="Y76" s="45"/>
    </row>
    <row r="77" ht="20" customHeight="1">
      <c r="A77" s="40"/>
      <c r="B77" t="s" s="68">
        <v>173</v>
      </c>
      <c r="C77" s="141" cm="1">
        <f t="array" ref="C77">'BLANK - Monthly Profit &amp; Loss -'!Q78</f>
        <v>0</v>
      </c>
      <c r="D77" s="47"/>
      <c r="E77" s="18"/>
      <c r="F77" s="18"/>
      <c r="G77" s="18"/>
      <c r="H77" s="18"/>
      <c r="I77" s="18"/>
      <c r="J77" s="18"/>
      <c r="K77" s="18"/>
      <c r="L77" s="18"/>
      <c r="M77" s="31"/>
      <c r="N77" s="31"/>
      <c r="O77" s="31"/>
      <c r="P77" s="31"/>
      <c r="Q77" s="31"/>
      <c r="R77" s="31"/>
      <c r="S77" s="31"/>
      <c r="T77" s="31"/>
      <c r="U77" s="31"/>
      <c r="V77" s="31"/>
      <c r="W77" s="31"/>
      <c r="X77" s="31"/>
      <c r="Y77" s="45"/>
    </row>
    <row r="78" ht="20" customHeight="1">
      <c r="A78" s="40"/>
      <c r="B78" t="s" s="68">
        <v>174</v>
      </c>
      <c r="C78" s="141" cm="1">
        <f t="array" ref="C78">'BLANK - Monthly Profit &amp; Loss -'!Q79</f>
        <v>0</v>
      </c>
      <c r="D78" s="47"/>
      <c r="E78" s="18"/>
      <c r="F78" s="18"/>
      <c r="G78" s="18"/>
      <c r="H78" s="18"/>
      <c r="I78" s="18"/>
      <c r="J78" s="18"/>
      <c r="K78" s="18"/>
      <c r="L78" s="18"/>
      <c r="M78" s="31"/>
      <c r="N78" s="31"/>
      <c r="O78" s="31"/>
      <c r="P78" s="31"/>
      <c r="Q78" s="31"/>
      <c r="R78" s="31"/>
      <c r="S78" s="31"/>
      <c r="T78" s="31"/>
      <c r="U78" s="31"/>
      <c r="V78" s="31"/>
      <c r="W78" s="31"/>
      <c r="X78" s="31"/>
      <c r="Y78" s="45"/>
    </row>
    <row r="79" ht="20" customHeight="1">
      <c r="A79" s="40"/>
      <c r="B79" t="s" s="68">
        <v>175</v>
      </c>
      <c r="C79" s="141" cm="1">
        <f t="array" ref="C79">'BLANK - Monthly Profit &amp; Loss -'!Q80</f>
        <v>0</v>
      </c>
      <c r="D79" s="47"/>
      <c r="E79" s="18"/>
      <c r="F79" s="18"/>
      <c r="G79" s="18"/>
      <c r="H79" s="18"/>
      <c r="I79" s="18"/>
      <c r="J79" s="18"/>
      <c r="K79" s="18"/>
      <c r="L79" s="18"/>
      <c r="M79" s="31"/>
      <c r="N79" s="31"/>
      <c r="O79" s="31"/>
      <c r="P79" s="31"/>
      <c r="Q79" s="31"/>
      <c r="R79" s="31"/>
      <c r="S79" s="31"/>
      <c r="T79" s="31"/>
      <c r="U79" s="31"/>
      <c r="V79" s="31"/>
      <c r="W79" s="31"/>
      <c r="X79" s="31"/>
      <c r="Y79" s="45"/>
    </row>
    <row r="80" ht="20" customHeight="1">
      <c r="A80" s="40"/>
      <c r="B80" t="s" s="68">
        <v>50</v>
      </c>
      <c r="C80" s="141" cm="1">
        <f t="array" ref="C80">'BLANK - Monthly Profit &amp; Loss -'!Q81</f>
        <v>0</v>
      </c>
      <c r="D80" s="47"/>
      <c r="E80" s="18"/>
      <c r="F80" s="18"/>
      <c r="G80" s="18"/>
      <c r="H80" s="18"/>
      <c r="I80" s="18"/>
      <c r="J80" s="18"/>
      <c r="K80" s="18"/>
      <c r="L80" s="18"/>
      <c r="M80" s="31"/>
      <c r="N80" s="31"/>
      <c r="O80" s="31"/>
      <c r="P80" s="31"/>
      <c r="Q80" s="31"/>
      <c r="R80" s="31"/>
      <c r="S80" s="31"/>
      <c r="T80" s="31"/>
      <c r="U80" s="31"/>
      <c r="V80" s="31"/>
      <c r="W80" s="31"/>
      <c r="X80" s="31"/>
      <c r="Y80" s="45"/>
    </row>
    <row r="81" ht="20" customHeight="1">
      <c r="A81" s="40"/>
      <c r="B81" t="s" s="72">
        <v>87</v>
      </c>
      <c r="C81" s="139" cm="1">
        <f t="array" ref="C81">'BLANK - Monthly Profit &amp; Loss -'!Q82</f>
        <v>0</v>
      </c>
      <c r="D81" s="47"/>
      <c r="E81" s="18"/>
      <c r="F81" s="18"/>
      <c r="G81" s="18"/>
      <c r="H81" s="18"/>
      <c r="I81" s="18"/>
      <c r="J81" s="18"/>
      <c r="K81" s="18"/>
      <c r="L81" s="18"/>
      <c r="M81" s="31"/>
      <c r="N81" s="31"/>
      <c r="O81" s="31"/>
      <c r="P81" s="31"/>
      <c r="Q81" s="31"/>
      <c r="R81" s="31"/>
      <c r="S81" s="31"/>
      <c r="T81" s="31"/>
      <c r="U81" s="31"/>
      <c r="V81" s="31"/>
      <c r="W81" s="31"/>
      <c r="X81" s="31"/>
      <c r="Y81" s="45"/>
    </row>
    <row r="82" ht="20" customHeight="1">
      <c r="A82" s="27"/>
      <c r="B82" s="97"/>
      <c r="C82" s="97"/>
      <c r="D82" s="18"/>
      <c r="E82" s="18"/>
      <c r="F82" s="18"/>
      <c r="G82" s="18"/>
      <c r="H82" s="18"/>
      <c r="I82" s="18"/>
      <c r="J82" s="18"/>
      <c r="K82" s="18"/>
      <c r="L82" s="18"/>
      <c r="M82" s="31"/>
      <c r="N82" s="31"/>
      <c r="O82" s="31"/>
      <c r="P82" s="31"/>
      <c r="Q82" s="31"/>
      <c r="R82" s="31"/>
      <c r="S82" s="31"/>
      <c r="T82" s="31"/>
      <c r="U82" s="31"/>
      <c r="V82" s="31"/>
      <c r="W82" s="31"/>
      <c r="X82" s="31"/>
      <c r="Y82" s="45"/>
    </row>
    <row r="83" ht="20" customHeight="1">
      <c r="A83" s="40"/>
      <c r="B83" t="s" s="92">
        <v>176</v>
      </c>
      <c r="C83" t="str" s="126" cm="1">
        <f t="array" ref="C83">'BLANK - Monthly Profit &amp; Loss -'!Q84</f>
        <v>YTD</v>
      </c>
      <c r="D83" s="47"/>
      <c r="E83" s="18"/>
      <c r="F83" s="18"/>
      <c r="G83" s="18"/>
      <c r="H83" s="18"/>
      <c r="I83" s="18"/>
      <c r="J83" s="18"/>
      <c r="K83" s="18"/>
      <c r="L83" s="18"/>
      <c r="M83" s="31"/>
      <c r="N83" s="31"/>
      <c r="O83" s="31"/>
      <c r="P83" s="31"/>
      <c r="Q83" s="31"/>
      <c r="R83" s="31"/>
      <c r="S83" s="31"/>
      <c r="T83" s="31"/>
      <c r="U83" s="31"/>
      <c r="V83" s="31"/>
      <c r="W83" s="31"/>
      <c r="X83" s="31"/>
      <c r="Y83" s="45"/>
    </row>
    <row r="84" ht="20" customHeight="1">
      <c r="A84" s="40"/>
      <c r="B84" t="s" s="68">
        <v>89</v>
      </c>
      <c r="C84" s="141" cm="1">
        <f t="array" ref="C84">'BLANK - Monthly Profit &amp; Loss -'!Q85</f>
        <v>0</v>
      </c>
      <c r="D84" s="47"/>
      <c r="E84" s="18"/>
      <c r="F84" s="18"/>
      <c r="G84" s="18"/>
      <c r="H84" s="18"/>
      <c r="I84" s="18"/>
      <c r="J84" s="18"/>
      <c r="K84" s="18"/>
      <c r="L84" s="18"/>
      <c r="M84" s="31"/>
      <c r="N84" s="31"/>
      <c r="O84" s="31"/>
      <c r="P84" s="31"/>
      <c r="Q84" s="31"/>
      <c r="R84" s="31"/>
      <c r="S84" s="31"/>
      <c r="T84" s="31"/>
      <c r="U84" s="31"/>
      <c r="V84" s="31"/>
      <c r="W84" s="31"/>
      <c r="X84" s="31"/>
      <c r="Y84" s="45"/>
    </row>
    <row r="85" ht="20" customHeight="1">
      <c r="A85" s="40"/>
      <c r="B85" t="s" s="68">
        <v>164</v>
      </c>
      <c r="C85" s="141" cm="1">
        <f t="array" ref="C85">'BLANK - Monthly Profit &amp; Loss -'!Q86</f>
        <v>0</v>
      </c>
      <c r="D85" s="47"/>
      <c r="E85" s="18"/>
      <c r="F85" s="18"/>
      <c r="G85" s="18"/>
      <c r="H85" s="18"/>
      <c r="I85" s="18"/>
      <c r="J85" s="18"/>
      <c r="K85" s="18"/>
      <c r="L85" s="18"/>
      <c r="M85" s="31"/>
      <c r="N85" s="31"/>
      <c r="O85" s="31"/>
      <c r="P85" s="31"/>
      <c r="Q85" s="31"/>
      <c r="R85" s="31"/>
      <c r="S85" s="31"/>
      <c r="T85" s="31"/>
      <c r="U85" s="31"/>
      <c r="V85" s="31"/>
      <c r="W85" s="31"/>
      <c r="X85" s="31"/>
      <c r="Y85" s="45"/>
    </row>
    <row r="86" ht="20" customHeight="1">
      <c r="A86" s="40"/>
      <c r="B86" t="s" s="68">
        <v>91</v>
      </c>
      <c r="C86" s="141" cm="1">
        <f t="array" ref="C86">'BLANK - Monthly Profit &amp; Loss -'!Q87</f>
        <v>0</v>
      </c>
      <c r="D86" s="47"/>
      <c r="E86" s="18"/>
      <c r="F86" s="18"/>
      <c r="G86" s="18"/>
      <c r="H86" s="18"/>
      <c r="I86" s="18"/>
      <c r="J86" s="18"/>
      <c r="K86" s="18"/>
      <c r="L86" s="18"/>
      <c r="M86" s="31"/>
      <c r="N86" s="31"/>
      <c r="O86" s="31"/>
      <c r="P86" s="31"/>
      <c r="Q86" s="31"/>
      <c r="R86" s="31"/>
      <c r="S86" s="31"/>
      <c r="T86" s="31"/>
      <c r="U86" s="31"/>
      <c r="V86" s="31"/>
      <c r="W86" s="31"/>
      <c r="X86" s="31"/>
      <c r="Y86" s="45"/>
    </row>
    <row r="87" ht="20" customHeight="1">
      <c r="A87" s="40"/>
      <c r="B87" t="s" s="68">
        <v>64</v>
      </c>
      <c r="C87" s="141" cm="1">
        <f t="array" ref="C87">'BLANK - Monthly Profit &amp; Loss -'!Q88</f>
        <v>0</v>
      </c>
      <c r="D87" s="47"/>
      <c r="E87" s="18"/>
      <c r="F87" s="18"/>
      <c r="G87" s="18"/>
      <c r="H87" s="18"/>
      <c r="I87" s="18"/>
      <c r="J87" s="18"/>
      <c r="K87" s="18"/>
      <c r="L87" s="18"/>
      <c r="M87" s="31"/>
      <c r="N87" s="31"/>
      <c r="O87" s="31"/>
      <c r="P87" s="31"/>
      <c r="Q87" s="31"/>
      <c r="R87" s="31"/>
      <c r="S87" s="31"/>
      <c r="T87" s="31"/>
      <c r="U87" s="31"/>
      <c r="V87" s="31"/>
      <c r="W87" s="31"/>
      <c r="X87" s="31"/>
      <c r="Y87" s="45"/>
    </row>
    <row r="88" ht="20" customHeight="1">
      <c r="A88" s="40"/>
      <c r="B88" t="s" s="68">
        <v>50</v>
      </c>
      <c r="C88" s="141" cm="1">
        <f t="array" ref="C88">'BLANK - Monthly Profit &amp; Loss -'!Q89</f>
        <v>0</v>
      </c>
      <c r="D88" s="47"/>
      <c r="E88" s="18"/>
      <c r="F88" s="18"/>
      <c r="G88" s="18"/>
      <c r="H88" s="18"/>
      <c r="I88" s="18"/>
      <c r="J88" s="18"/>
      <c r="K88" s="18"/>
      <c r="L88" s="18"/>
      <c r="M88" s="31"/>
      <c r="N88" s="31"/>
      <c r="O88" s="31"/>
      <c r="P88" s="31"/>
      <c r="Q88" s="31"/>
      <c r="R88" s="31"/>
      <c r="S88" s="31"/>
      <c r="T88" s="31"/>
      <c r="U88" s="31"/>
      <c r="V88" s="31"/>
      <c r="W88" s="31"/>
      <c r="X88" s="31"/>
      <c r="Y88" s="45"/>
    </row>
    <row r="89" ht="20" customHeight="1">
      <c r="A89" s="40"/>
      <c r="B89" t="s" s="72">
        <v>92</v>
      </c>
      <c r="C89" s="139" cm="1">
        <f t="array" ref="C89">'BLANK - Monthly Profit &amp; Loss -'!Q90</f>
        <v>0</v>
      </c>
      <c r="D89" s="47"/>
      <c r="E89" s="18"/>
      <c r="F89" s="18"/>
      <c r="G89" s="18"/>
      <c r="H89" s="18"/>
      <c r="I89" s="18"/>
      <c r="J89" s="18"/>
      <c r="K89" s="18"/>
      <c r="L89" s="18"/>
      <c r="M89" s="31"/>
      <c r="N89" s="31"/>
      <c r="O89" s="31"/>
      <c r="P89" s="31"/>
      <c r="Q89" s="31"/>
      <c r="R89" s="31"/>
      <c r="S89" s="31"/>
      <c r="T89" s="31"/>
      <c r="U89" s="31"/>
      <c r="V89" s="31"/>
      <c r="W89" s="31"/>
      <c r="X89" s="31"/>
      <c r="Y89" s="45"/>
    </row>
    <row r="90" ht="20" customHeight="1">
      <c r="A90" s="27"/>
      <c r="B90" s="97"/>
      <c r="C90" s="97"/>
      <c r="D90" s="18"/>
      <c r="E90" s="18"/>
      <c r="F90" s="18"/>
      <c r="G90" s="18"/>
      <c r="H90" s="18"/>
      <c r="I90" s="18"/>
      <c r="J90" s="18"/>
      <c r="K90" s="18"/>
      <c r="L90" s="18"/>
      <c r="M90" s="31"/>
      <c r="N90" s="31"/>
      <c r="O90" s="31"/>
      <c r="P90" s="31"/>
      <c r="Q90" s="31"/>
      <c r="R90" s="31"/>
      <c r="S90" s="31"/>
      <c r="T90" s="31"/>
      <c r="U90" s="31"/>
      <c r="V90" s="31"/>
      <c r="W90" s="31"/>
      <c r="X90" s="31"/>
      <c r="Y90" s="45"/>
    </row>
    <row r="91" ht="20" customHeight="1">
      <c r="A91" s="40"/>
      <c r="B91" t="s" s="92">
        <v>196</v>
      </c>
      <c r="C91" t="str" s="126" cm="1">
        <f t="array" ref="C91">'BLANK - Monthly Profit &amp; Loss -'!Q92</f>
        <v>YTD</v>
      </c>
      <c r="D91" s="47"/>
      <c r="E91" s="18"/>
      <c r="F91" s="18"/>
      <c r="G91" s="18"/>
      <c r="H91" s="18"/>
      <c r="I91" s="18"/>
      <c r="J91" s="18"/>
      <c r="K91" s="18"/>
      <c r="L91" s="18"/>
      <c r="M91" s="31"/>
      <c r="N91" s="31"/>
      <c r="O91" s="31"/>
      <c r="P91" s="31"/>
      <c r="Q91" s="31"/>
      <c r="R91" s="31"/>
      <c r="S91" s="31"/>
      <c r="T91" s="31"/>
      <c r="U91" s="31"/>
      <c r="V91" s="31"/>
      <c r="W91" s="31"/>
      <c r="X91" s="31"/>
      <c r="Y91" s="45"/>
    </row>
    <row r="92" ht="20" customHeight="1">
      <c r="A92" s="40"/>
      <c r="B92" t="s" s="68">
        <v>213</v>
      </c>
      <c r="C92" s="141" cm="1">
        <f t="array" ref="C92">'BLANK - Monthly Profit &amp; Loss -'!Q93</f>
        <v>0</v>
      </c>
      <c r="D92" s="47"/>
      <c r="E92" s="18"/>
      <c r="F92" s="18"/>
      <c r="G92" s="18"/>
      <c r="H92" s="18"/>
      <c r="I92" s="18"/>
      <c r="J92" s="18"/>
      <c r="K92" s="18"/>
      <c r="L92" s="18"/>
      <c r="M92" s="31"/>
      <c r="N92" s="31"/>
      <c r="O92" s="31"/>
      <c r="P92" s="31"/>
      <c r="Q92" s="31"/>
      <c r="R92" s="31"/>
      <c r="S92" s="31"/>
      <c r="T92" s="31"/>
      <c r="U92" s="31"/>
      <c r="V92" s="31"/>
      <c r="W92" s="31"/>
      <c r="X92" s="31"/>
      <c r="Y92" s="45"/>
    </row>
    <row r="93" ht="20" customHeight="1">
      <c r="A93" s="40"/>
      <c r="B93" t="s" s="68">
        <v>214</v>
      </c>
      <c r="C93" s="141" cm="1">
        <f t="array" ref="C93">'BLANK - Monthly Profit &amp; Loss -'!Q94</f>
        <v>0</v>
      </c>
      <c r="D93" s="47"/>
      <c r="E93" s="18"/>
      <c r="F93" s="18"/>
      <c r="G93" s="18"/>
      <c r="H93" s="18"/>
      <c r="I93" s="18"/>
      <c r="J93" s="18"/>
      <c r="K93" s="18"/>
      <c r="L93" s="18"/>
      <c r="M93" s="31"/>
      <c r="N93" s="31"/>
      <c r="O93" s="31"/>
      <c r="P93" s="31"/>
      <c r="Q93" s="31"/>
      <c r="R93" s="31"/>
      <c r="S93" s="31"/>
      <c r="T93" s="31"/>
      <c r="U93" s="31"/>
      <c r="V93" s="31"/>
      <c r="W93" s="31"/>
      <c r="X93" s="31"/>
      <c r="Y93" s="45"/>
    </row>
    <row r="94" ht="20" customHeight="1">
      <c r="A94" s="40"/>
      <c r="B94" t="s" s="68">
        <v>215</v>
      </c>
      <c r="C94" s="141" cm="1">
        <f t="array" ref="C94">'BLANK - Monthly Profit &amp; Loss -'!Q95</f>
        <v>0</v>
      </c>
      <c r="D94" s="47"/>
      <c r="E94" s="18"/>
      <c r="F94" s="18"/>
      <c r="G94" s="18"/>
      <c r="H94" s="18"/>
      <c r="I94" s="18"/>
      <c r="J94" s="18"/>
      <c r="K94" s="18"/>
      <c r="L94" s="18"/>
      <c r="M94" s="31"/>
      <c r="N94" s="31"/>
      <c r="O94" s="31"/>
      <c r="P94" s="31"/>
      <c r="Q94" s="31"/>
      <c r="R94" s="31"/>
      <c r="S94" s="31"/>
      <c r="T94" s="31"/>
      <c r="U94" s="31"/>
      <c r="V94" s="31"/>
      <c r="W94" s="31"/>
      <c r="X94" s="31"/>
      <c r="Y94" s="45"/>
    </row>
    <row r="95" ht="20" customHeight="1">
      <c r="A95" s="40"/>
      <c r="B95" t="s" s="68">
        <v>50</v>
      </c>
      <c r="C95" s="141" cm="1">
        <f t="array" ref="C95">'BLANK - Monthly Profit &amp; Loss -'!Q96</f>
        <v>0</v>
      </c>
      <c r="D95" s="47"/>
      <c r="E95" s="18"/>
      <c r="F95" s="18"/>
      <c r="G95" s="18"/>
      <c r="H95" s="18"/>
      <c r="I95" s="18"/>
      <c r="J95" s="18"/>
      <c r="K95" s="18"/>
      <c r="L95" s="18"/>
      <c r="M95" s="31"/>
      <c r="N95" s="31"/>
      <c r="O95" s="31"/>
      <c r="P95" s="31"/>
      <c r="Q95" s="31"/>
      <c r="R95" s="31"/>
      <c r="S95" s="31"/>
      <c r="T95" s="31"/>
      <c r="U95" s="31"/>
      <c r="V95" s="31"/>
      <c r="W95" s="31"/>
      <c r="X95" s="31"/>
      <c r="Y95" s="45"/>
    </row>
    <row r="96" ht="20" customHeight="1">
      <c r="A96" s="40"/>
      <c r="B96" t="s" s="72">
        <v>98</v>
      </c>
      <c r="C96" s="139" cm="1">
        <f t="array" ref="C96">'BLANK - Monthly Profit &amp; Loss -'!Q97</f>
        <v>0</v>
      </c>
      <c r="D96" s="47"/>
      <c r="E96" s="18"/>
      <c r="F96" s="18"/>
      <c r="G96" s="18"/>
      <c r="H96" s="18"/>
      <c r="I96" s="18"/>
      <c r="J96" s="18"/>
      <c r="K96" s="18"/>
      <c r="L96" s="18"/>
      <c r="M96" s="31"/>
      <c r="N96" s="31"/>
      <c r="O96" s="31"/>
      <c r="P96" s="31"/>
      <c r="Q96" s="31"/>
      <c r="R96" s="31"/>
      <c r="S96" s="31"/>
      <c r="T96" s="31"/>
      <c r="U96" s="31"/>
      <c r="V96" s="31"/>
      <c r="W96" s="31"/>
      <c r="X96" s="31"/>
      <c r="Y96" s="45"/>
    </row>
    <row r="97" ht="20" customHeight="1">
      <c r="A97" s="27"/>
      <c r="B97" s="97"/>
      <c r="C97" s="97"/>
      <c r="D97" s="18"/>
      <c r="E97" s="18"/>
      <c r="F97" s="18"/>
      <c r="G97" s="18"/>
      <c r="H97" s="18"/>
      <c r="I97" s="18"/>
      <c r="J97" s="18"/>
      <c r="K97" s="18"/>
      <c r="L97" s="18"/>
      <c r="M97" s="31"/>
      <c r="N97" s="31"/>
      <c r="O97" s="31"/>
      <c r="P97" s="31"/>
      <c r="Q97" s="31"/>
      <c r="R97" s="31"/>
      <c r="S97" s="31"/>
      <c r="T97" s="31"/>
      <c r="U97" s="31"/>
      <c r="V97" s="31"/>
      <c r="W97" s="31"/>
      <c r="X97" s="31"/>
      <c r="Y97" s="45"/>
    </row>
    <row r="98" ht="20" customHeight="1">
      <c r="A98" s="40"/>
      <c r="B98" t="s" s="41">
        <v>26</v>
      </c>
      <c r="C98" s="139" cm="1">
        <f t="array" ref="C98">'BLANK - Monthly Profit &amp; Loss -'!Q99</f>
        <v>0</v>
      </c>
      <c r="D98" s="47"/>
      <c r="E98" s="18"/>
      <c r="F98" s="18"/>
      <c r="G98" s="18"/>
      <c r="H98" s="18"/>
      <c r="I98" s="18"/>
      <c r="J98" s="18"/>
      <c r="K98" s="18"/>
      <c r="L98" s="18"/>
      <c r="M98" s="31"/>
      <c r="N98" s="31"/>
      <c r="O98" s="31"/>
      <c r="P98" s="31"/>
      <c r="Q98" s="31"/>
      <c r="R98" s="31"/>
      <c r="S98" s="31"/>
      <c r="T98" s="31"/>
      <c r="U98" s="31"/>
      <c r="V98" s="31"/>
      <c r="W98" s="31"/>
      <c r="X98" s="31"/>
      <c r="Y98" s="45"/>
    </row>
    <row r="99" ht="20" customHeight="1">
      <c r="A99" s="27"/>
      <c r="B99" s="100"/>
      <c r="C99" s="102"/>
      <c r="D99" s="130"/>
      <c r="E99" s="130"/>
      <c r="F99" s="130"/>
      <c r="G99" s="130"/>
      <c r="H99" s="130"/>
      <c r="I99" s="130"/>
      <c r="J99" s="130"/>
      <c r="K99" s="130"/>
      <c r="L99" s="130"/>
      <c r="M99" s="130"/>
      <c r="N99" s="130"/>
      <c r="O99" s="18"/>
      <c r="P99" s="130"/>
      <c r="Q99" s="18"/>
      <c r="R99" s="18"/>
      <c r="S99" s="18"/>
      <c r="T99" s="18"/>
      <c r="U99" s="18"/>
      <c r="V99" s="18"/>
      <c r="W99" s="18"/>
      <c r="X99" s="18"/>
      <c r="Y99" s="19"/>
    </row>
    <row r="100" ht="15" customHeight="1">
      <c r="A100" s="27"/>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9"/>
    </row>
    <row r="101" ht="15" customHeight="1">
      <c r="A101" s="27"/>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9"/>
    </row>
    <row r="102" ht="15" customHeight="1">
      <c r="A102" s="27"/>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9"/>
    </row>
    <row r="103" ht="15" customHeight="1">
      <c r="A103" s="27"/>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9"/>
    </row>
    <row r="104" ht="15" customHeight="1">
      <c r="A104" s="27"/>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9"/>
    </row>
    <row r="105" ht="15" customHeight="1">
      <c r="A105" s="27"/>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9"/>
    </row>
    <row r="106" ht="15" customHeight="1">
      <c r="A106" s="27"/>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9"/>
    </row>
    <row r="107" ht="15" customHeight="1">
      <c r="A107" s="27"/>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9"/>
    </row>
    <row r="108" ht="15" customHeight="1">
      <c r="A108" s="27"/>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9"/>
    </row>
    <row r="109" ht="15" customHeight="1">
      <c r="A109" s="27"/>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9"/>
    </row>
    <row r="110" ht="15" customHeight="1">
      <c r="A110" s="27"/>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9"/>
    </row>
    <row r="111" ht="15" customHeight="1">
      <c r="A111" s="27"/>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9"/>
    </row>
    <row r="112" ht="15" customHeight="1">
      <c r="A112" s="27"/>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9"/>
    </row>
    <row r="113" ht="15" customHeight="1">
      <c r="A113" s="27"/>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9"/>
    </row>
    <row r="114" ht="15" customHeight="1">
      <c r="A114" s="27"/>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9"/>
    </row>
    <row r="115" ht="15" customHeight="1">
      <c r="A115" s="27"/>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9"/>
    </row>
    <row r="116" ht="15" customHeight="1">
      <c r="A116" s="27"/>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9"/>
    </row>
    <row r="117" ht="15" customHeight="1">
      <c r="A117" s="27"/>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9"/>
    </row>
    <row r="118" ht="15" customHeight="1">
      <c r="A118" s="27"/>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9"/>
    </row>
    <row r="119" ht="15" customHeight="1">
      <c r="A119" s="27"/>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9"/>
    </row>
    <row r="120" ht="15" customHeight="1">
      <c r="A120" s="27"/>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9"/>
    </row>
    <row r="121" ht="15" customHeight="1">
      <c r="A121" s="27"/>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9"/>
    </row>
    <row r="122" ht="15" customHeight="1">
      <c r="A122" s="27"/>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9"/>
    </row>
    <row r="123" ht="15" customHeight="1">
      <c r="A123" s="27"/>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9"/>
    </row>
    <row r="124" ht="15" customHeight="1">
      <c r="A124" s="27"/>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9"/>
    </row>
    <row r="125" ht="15" customHeight="1">
      <c r="A125" s="27"/>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9"/>
    </row>
    <row r="126" ht="15" customHeight="1">
      <c r="A126" s="27"/>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9"/>
    </row>
    <row r="127" ht="15" customHeight="1">
      <c r="A127" s="27"/>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9"/>
    </row>
    <row r="128" ht="15" customHeight="1">
      <c r="A128" s="27"/>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9"/>
    </row>
    <row r="129" ht="15" customHeight="1">
      <c r="A129" s="27"/>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9"/>
    </row>
    <row r="130" ht="15" customHeight="1">
      <c r="A130" s="27"/>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9"/>
    </row>
    <row r="131" ht="15" customHeight="1">
      <c r="A131" s="27"/>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9"/>
    </row>
    <row r="132" ht="15" customHeight="1">
      <c r="A132" s="27"/>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9"/>
    </row>
    <row r="133" ht="15" customHeight="1">
      <c r="A133" s="27"/>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9"/>
    </row>
    <row r="134" ht="15" customHeight="1">
      <c r="A134" s="27"/>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9"/>
    </row>
    <row r="135" ht="15" customHeight="1">
      <c r="A135" s="27"/>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9"/>
    </row>
    <row r="136" ht="15" customHeight="1">
      <c r="A136" s="27"/>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9"/>
    </row>
    <row r="137" ht="15" customHeight="1">
      <c r="A137" s="27"/>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9"/>
    </row>
    <row r="138" ht="15" customHeight="1">
      <c r="A138" s="27"/>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9"/>
    </row>
    <row r="139" ht="15" customHeight="1">
      <c r="A139" s="27"/>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9"/>
    </row>
    <row r="140" ht="15" customHeight="1">
      <c r="A140" s="27"/>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9"/>
    </row>
    <row r="141" ht="15" customHeight="1">
      <c r="A141" s="27"/>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9"/>
    </row>
    <row r="142" ht="15" customHeight="1">
      <c r="A142" s="27"/>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9"/>
    </row>
    <row r="143" ht="15" customHeight="1">
      <c r="A143" s="27"/>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9"/>
    </row>
    <row r="144" ht="15" customHeight="1">
      <c r="A144" s="27"/>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9"/>
    </row>
    <row r="145" ht="15" customHeight="1">
      <c r="A145" s="27"/>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9"/>
    </row>
    <row r="146" ht="15" customHeight="1">
      <c r="A146" s="27"/>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9"/>
    </row>
    <row r="147" ht="15" customHeight="1">
      <c r="A147" s="27"/>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9"/>
    </row>
    <row r="148" ht="15" customHeight="1">
      <c r="A148" s="27"/>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9"/>
    </row>
    <row r="149" ht="15" customHeight="1">
      <c r="A149" s="27"/>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9"/>
    </row>
    <row r="150" ht="15" customHeight="1">
      <c r="A150" s="27"/>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9"/>
    </row>
    <row r="151" ht="15" customHeight="1">
      <c r="A151" s="27"/>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9"/>
    </row>
    <row r="152" ht="15" customHeight="1">
      <c r="A152" s="27"/>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9"/>
    </row>
    <row r="153" ht="15" customHeight="1">
      <c r="A153" s="27"/>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9"/>
    </row>
    <row r="154" ht="15" customHeight="1">
      <c r="A154" s="27"/>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9"/>
    </row>
    <row r="155" ht="15" customHeight="1">
      <c r="A155" s="27"/>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9"/>
    </row>
    <row r="156" ht="15" customHeight="1">
      <c r="A156" s="27"/>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9"/>
    </row>
    <row r="157" ht="15" customHeight="1">
      <c r="A157" s="27"/>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9"/>
    </row>
    <row r="158" ht="15" customHeight="1">
      <c r="A158" s="27"/>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9"/>
    </row>
    <row r="159" ht="15" customHeight="1">
      <c r="A159" s="27"/>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9"/>
    </row>
    <row r="160" ht="15" customHeight="1">
      <c r="A160" s="27"/>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9"/>
    </row>
    <row r="161" ht="15" customHeight="1">
      <c r="A161" s="27"/>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9"/>
    </row>
    <row r="162" ht="15" customHeight="1">
      <c r="A162" s="27"/>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9"/>
    </row>
    <row r="163" ht="15" customHeight="1">
      <c r="A163" s="27"/>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9"/>
    </row>
    <row r="164" ht="15" customHeight="1">
      <c r="A164" s="27"/>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9"/>
    </row>
    <row r="165" ht="15" customHeight="1">
      <c r="A165" s="27"/>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9"/>
    </row>
    <row r="166" ht="15" customHeight="1">
      <c r="A166" s="27"/>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9"/>
    </row>
    <row r="167" ht="15" customHeight="1">
      <c r="A167" s="27"/>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9"/>
    </row>
    <row r="168" ht="15" customHeight="1">
      <c r="A168" s="27"/>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9"/>
    </row>
    <row r="169" ht="15" customHeight="1">
      <c r="A169" s="27"/>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9"/>
    </row>
    <row r="170" ht="15" customHeight="1">
      <c r="A170" s="27"/>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9"/>
    </row>
    <row r="171" ht="15" customHeight="1">
      <c r="A171" s="27"/>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9"/>
    </row>
    <row r="172" ht="15" customHeight="1">
      <c r="A172" s="27"/>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9"/>
    </row>
    <row r="173" ht="15" customHeight="1">
      <c r="A173" s="27"/>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9"/>
    </row>
    <row r="174" ht="15" customHeight="1">
      <c r="A174" s="27"/>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9"/>
    </row>
    <row r="175" ht="15" customHeight="1">
      <c r="A175" s="27"/>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9"/>
    </row>
    <row r="176" ht="15" customHeight="1">
      <c r="A176" s="27"/>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9"/>
    </row>
    <row r="177" ht="15" customHeight="1">
      <c r="A177" s="27"/>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9"/>
    </row>
    <row r="178" ht="15" customHeight="1">
      <c r="A178" s="27"/>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9"/>
    </row>
    <row r="179" ht="15" customHeight="1">
      <c r="A179" s="27"/>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9"/>
    </row>
    <row r="180" ht="15" customHeight="1">
      <c r="A180" s="27"/>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9"/>
    </row>
    <row r="181" ht="15" customHeight="1">
      <c r="A181" s="27"/>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9"/>
    </row>
    <row r="182" ht="15" customHeight="1">
      <c r="A182" s="27"/>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9"/>
    </row>
    <row r="183" ht="15" customHeight="1">
      <c r="A183" s="27"/>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9"/>
    </row>
    <row r="184" ht="15" customHeight="1">
      <c r="A184" s="27"/>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9"/>
    </row>
    <row r="185" ht="15" customHeight="1">
      <c r="A185" s="27"/>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9"/>
    </row>
    <row r="186" ht="15" customHeight="1">
      <c r="A186" s="27"/>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9"/>
    </row>
    <row r="187" ht="15" customHeight="1">
      <c r="A187" s="27"/>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9"/>
    </row>
    <row r="188" ht="15" customHeight="1">
      <c r="A188" s="27"/>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9"/>
    </row>
    <row r="189" ht="15" customHeight="1">
      <c r="A189" s="27"/>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9"/>
    </row>
    <row r="190" ht="15" customHeight="1">
      <c r="A190" s="27"/>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9"/>
    </row>
    <row r="191" ht="15" customHeight="1">
      <c r="A191" s="27"/>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9"/>
    </row>
    <row r="192" ht="15" customHeight="1">
      <c r="A192" s="27"/>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9"/>
    </row>
    <row r="193" ht="15" customHeight="1">
      <c r="A193" s="27"/>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9"/>
    </row>
    <row r="194" ht="15" customHeight="1">
      <c r="A194" s="27"/>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9"/>
    </row>
    <row r="195" ht="15" customHeight="1">
      <c r="A195" s="27"/>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9"/>
    </row>
    <row r="196" ht="15" customHeight="1">
      <c r="A196" s="27"/>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9"/>
    </row>
    <row r="197" ht="15" customHeight="1">
      <c r="A197" s="27"/>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9"/>
    </row>
    <row r="198" ht="15" customHeight="1">
      <c r="A198" s="27"/>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9"/>
    </row>
    <row r="199" ht="15" customHeight="1">
      <c r="A199" s="27"/>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9"/>
    </row>
    <row r="200" ht="15" customHeight="1">
      <c r="A200" s="27"/>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9"/>
    </row>
    <row r="201" ht="15" customHeight="1">
      <c r="A201" s="27"/>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9"/>
    </row>
    <row r="202" ht="15" customHeight="1">
      <c r="A202" s="27"/>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9"/>
    </row>
    <row r="203" ht="15" customHeight="1">
      <c r="A203" s="27"/>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9"/>
    </row>
    <row r="204" ht="15" customHeight="1">
      <c r="A204" s="27"/>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9"/>
    </row>
    <row r="205" ht="15" customHeight="1">
      <c r="A205" s="27"/>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9"/>
    </row>
    <row r="206" ht="15" customHeight="1">
      <c r="A206" s="27"/>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9"/>
    </row>
    <row r="207" ht="15" customHeight="1">
      <c r="A207" s="27"/>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9"/>
    </row>
    <row r="208" ht="15" customHeight="1">
      <c r="A208" s="27"/>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9"/>
    </row>
    <row r="209" ht="15" customHeight="1">
      <c r="A209" s="27"/>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9"/>
    </row>
    <row r="210" ht="15" customHeight="1">
      <c r="A210" s="27"/>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9"/>
    </row>
    <row r="211" ht="15" customHeight="1">
      <c r="A211" s="27"/>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9"/>
    </row>
    <row r="212" ht="15" customHeight="1">
      <c r="A212" s="27"/>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9"/>
    </row>
    <row r="213" ht="15" customHeight="1">
      <c r="A213" s="27"/>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9"/>
    </row>
    <row r="214" ht="15" customHeight="1">
      <c r="A214" s="27"/>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9"/>
    </row>
    <row r="215" ht="15" customHeight="1">
      <c r="A215" s="27"/>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9"/>
    </row>
    <row r="216" ht="15" customHeight="1">
      <c r="A216" s="27"/>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9"/>
    </row>
    <row r="217" ht="15" customHeight="1">
      <c r="A217" s="27"/>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9"/>
    </row>
    <row r="218" ht="15" customHeight="1">
      <c r="A218" s="27"/>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9"/>
    </row>
    <row r="219" ht="15" customHeight="1">
      <c r="A219" s="27"/>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9"/>
    </row>
    <row r="220" ht="15" customHeight="1">
      <c r="A220" s="27"/>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9"/>
    </row>
    <row r="221" ht="15" customHeight="1">
      <c r="A221" s="27"/>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9"/>
    </row>
    <row r="222" ht="15" customHeight="1">
      <c r="A222" s="27"/>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9"/>
    </row>
    <row r="223" ht="15" customHeight="1">
      <c r="A223" s="27"/>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9"/>
    </row>
    <row r="224" ht="15" customHeight="1">
      <c r="A224" s="27"/>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9"/>
    </row>
    <row r="225" ht="15" customHeight="1">
      <c r="A225" s="27"/>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9"/>
    </row>
    <row r="226" ht="15" customHeight="1">
      <c r="A226" s="27"/>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9"/>
    </row>
    <row r="227" ht="15" customHeight="1">
      <c r="A227" s="27"/>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9"/>
    </row>
    <row r="228" ht="15" customHeight="1">
      <c r="A228" s="27"/>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9"/>
    </row>
    <row r="229" ht="15" customHeight="1">
      <c r="A229" s="27"/>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9"/>
    </row>
    <row r="230" ht="15" customHeight="1">
      <c r="A230" s="27"/>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9"/>
    </row>
    <row r="231" ht="15" customHeight="1">
      <c r="A231" s="27"/>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9"/>
    </row>
    <row r="232" ht="15" customHeight="1">
      <c r="A232" s="27"/>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9"/>
    </row>
    <row r="233" ht="15" customHeight="1">
      <c r="A233" s="27"/>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9"/>
    </row>
    <row r="234" ht="15" customHeight="1">
      <c r="A234" s="27"/>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9"/>
    </row>
    <row r="235" ht="15" customHeight="1">
      <c r="A235" s="27"/>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9"/>
    </row>
    <row r="236" ht="15" customHeight="1">
      <c r="A236" s="27"/>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9"/>
    </row>
    <row r="237" ht="15" customHeight="1">
      <c r="A237" s="27"/>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9"/>
    </row>
    <row r="238" ht="15" customHeight="1">
      <c r="A238" s="27"/>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9"/>
    </row>
    <row r="239" ht="15" customHeight="1">
      <c r="A239" s="27"/>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9"/>
    </row>
    <row r="240" ht="15" customHeight="1">
      <c r="A240" s="27"/>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9"/>
    </row>
    <row r="241" ht="15" customHeight="1">
      <c r="A241" s="27"/>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9"/>
    </row>
    <row r="242" ht="15" customHeight="1">
      <c r="A242" s="27"/>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9"/>
    </row>
    <row r="243" ht="15" customHeight="1">
      <c r="A243" s="27"/>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9"/>
    </row>
    <row r="244" ht="15" customHeight="1">
      <c r="A244" s="27"/>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9"/>
    </row>
    <row r="245" ht="15" customHeight="1">
      <c r="A245" s="27"/>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9"/>
    </row>
    <row r="246" ht="15" customHeight="1">
      <c r="A246" s="27"/>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9"/>
    </row>
    <row r="247" ht="15" customHeight="1">
      <c r="A247" s="27"/>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9"/>
    </row>
    <row r="248" ht="15" customHeight="1">
      <c r="A248" s="27"/>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9"/>
    </row>
    <row r="249" ht="15" customHeight="1">
      <c r="A249" s="27"/>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9"/>
    </row>
    <row r="250" ht="15" customHeight="1">
      <c r="A250" s="27"/>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9"/>
    </row>
    <row r="251" ht="15" customHeight="1">
      <c r="A251" s="27"/>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9"/>
    </row>
    <row r="252" ht="15" customHeight="1">
      <c r="A252" s="27"/>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9"/>
    </row>
    <row r="253" ht="15" customHeight="1">
      <c r="A253" s="27"/>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9"/>
    </row>
    <row r="254" ht="15" customHeight="1">
      <c r="A254" s="27"/>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9"/>
    </row>
    <row r="255" ht="15" customHeight="1">
      <c r="A255" s="27"/>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9"/>
    </row>
    <row r="256" ht="15" customHeight="1">
      <c r="A256" s="27"/>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9"/>
    </row>
    <row r="257" ht="15" customHeight="1">
      <c r="A257" s="27"/>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9"/>
    </row>
    <row r="258" ht="15" customHeight="1">
      <c r="A258" s="27"/>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9"/>
    </row>
    <row r="259" ht="15" customHeight="1">
      <c r="A259" s="27"/>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9"/>
    </row>
    <row r="260" ht="15" customHeight="1">
      <c r="A260" s="27"/>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9"/>
    </row>
    <row r="261" ht="15" customHeight="1">
      <c r="A261" s="27"/>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9"/>
    </row>
    <row r="262" ht="15" customHeight="1">
      <c r="A262" s="27"/>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9"/>
    </row>
    <row r="263" ht="15" customHeight="1">
      <c r="A263" s="27"/>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9"/>
    </row>
    <row r="264" ht="15" customHeight="1">
      <c r="A264" s="27"/>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9"/>
    </row>
    <row r="265" ht="15" customHeight="1">
      <c r="A265" s="27"/>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9"/>
    </row>
    <row r="266" ht="15" customHeight="1">
      <c r="A266" s="27"/>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9"/>
    </row>
    <row r="267" ht="15" customHeight="1">
      <c r="A267" s="27"/>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9"/>
    </row>
    <row r="268" ht="15" customHeight="1">
      <c r="A268" s="27"/>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9"/>
    </row>
    <row r="269" ht="15" customHeight="1">
      <c r="A269" s="27"/>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9"/>
    </row>
    <row r="270" ht="15" customHeight="1">
      <c r="A270" s="27"/>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9"/>
    </row>
    <row r="271" ht="15" customHeight="1">
      <c r="A271" s="27"/>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9"/>
    </row>
    <row r="272" ht="15" customHeight="1">
      <c r="A272" s="27"/>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9"/>
    </row>
    <row r="273" ht="15" customHeight="1">
      <c r="A273" s="27"/>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9"/>
    </row>
    <row r="274" ht="15" customHeight="1">
      <c r="A274" s="27"/>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9"/>
    </row>
    <row r="275" ht="15" customHeight="1">
      <c r="A275" s="27"/>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9"/>
    </row>
    <row r="276" ht="15" customHeight="1">
      <c r="A276" s="27"/>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9"/>
    </row>
    <row r="277" ht="15" customHeight="1">
      <c r="A277" s="27"/>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9"/>
    </row>
    <row r="278" ht="15" customHeight="1">
      <c r="A278" s="27"/>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9"/>
    </row>
    <row r="279" ht="15" customHeight="1">
      <c r="A279" s="27"/>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9"/>
    </row>
    <row r="280" ht="15" customHeight="1">
      <c r="A280" s="27"/>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9"/>
    </row>
    <row r="281" ht="15" customHeight="1">
      <c r="A281" s="27"/>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9"/>
    </row>
    <row r="282" ht="15" customHeight="1">
      <c r="A282" s="27"/>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9"/>
    </row>
    <row r="283" ht="15" customHeight="1">
      <c r="A283" s="27"/>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9"/>
    </row>
    <row r="284" ht="15" customHeight="1">
      <c r="A284" s="27"/>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9"/>
    </row>
    <row r="285" ht="15" customHeight="1">
      <c r="A285" s="27"/>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9"/>
    </row>
    <row r="286" ht="15" customHeight="1">
      <c r="A286" s="27"/>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9"/>
    </row>
    <row r="287" ht="15" customHeight="1">
      <c r="A287" s="27"/>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9"/>
    </row>
    <row r="288" ht="15" customHeight="1">
      <c r="A288" s="27"/>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9"/>
    </row>
    <row r="289" ht="15" customHeight="1">
      <c r="A289" s="27"/>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9"/>
    </row>
    <row r="290" ht="15" customHeight="1">
      <c r="A290" s="27"/>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9"/>
    </row>
    <row r="291" ht="15" customHeight="1">
      <c r="A291" s="27"/>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9"/>
    </row>
    <row r="292" ht="15" customHeight="1">
      <c r="A292" s="27"/>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9"/>
    </row>
    <row r="293" ht="15" customHeight="1">
      <c r="A293" s="27"/>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9"/>
    </row>
    <row r="294" ht="15" customHeight="1">
      <c r="A294" s="27"/>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9"/>
    </row>
    <row r="295" ht="15" customHeight="1">
      <c r="A295" s="27"/>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9"/>
    </row>
    <row r="296" ht="15" customHeight="1">
      <c r="A296" s="27"/>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9"/>
    </row>
    <row r="297" ht="15" customHeight="1">
      <c r="A297" s="27"/>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9"/>
    </row>
    <row r="298" ht="15" customHeight="1">
      <c r="A298" s="27"/>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9"/>
    </row>
    <row r="299" ht="15" customHeight="1">
      <c r="A299" s="27"/>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9"/>
    </row>
    <row r="300" ht="15" customHeight="1">
      <c r="A300" s="27"/>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9"/>
    </row>
    <row r="301" ht="15" customHeight="1">
      <c r="A301" s="27"/>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9"/>
    </row>
    <row r="302" ht="15" customHeight="1">
      <c r="A302" s="27"/>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9"/>
    </row>
    <row r="303" ht="15" customHeight="1">
      <c r="A303" s="27"/>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9"/>
    </row>
    <row r="304" ht="15" customHeight="1">
      <c r="A304" s="27"/>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9"/>
    </row>
    <row r="305" ht="15" customHeight="1">
      <c r="A305" s="27"/>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9"/>
    </row>
    <row r="306" ht="15" customHeight="1">
      <c r="A306" s="27"/>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9"/>
    </row>
    <row r="307" ht="15" customHeight="1">
      <c r="A307" s="27"/>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9"/>
    </row>
    <row r="308" ht="15" customHeight="1">
      <c r="A308" s="27"/>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9"/>
    </row>
    <row r="309" ht="15" customHeight="1">
      <c r="A309" s="27"/>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9"/>
    </row>
    <row r="310" ht="15" customHeight="1">
      <c r="A310" s="27"/>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9"/>
    </row>
    <row r="311" ht="15" customHeight="1">
      <c r="A311" s="27"/>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9"/>
    </row>
    <row r="312" ht="15" customHeight="1">
      <c r="A312" s="27"/>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9"/>
    </row>
    <row r="313" ht="15" customHeight="1">
      <c r="A313" s="27"/>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9"/>
    </row>
    <row r="314" ht="15" customHeight="1">
      <c r="A314" s="27"/>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9"/>
    </row>
    <row r="315" ht="15" customHeight="1">
      <c r="A315" s="27"/>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9"/>
    </row>
    <row r="316" ht="15" customHeight="1">
      <c r="A316" s="27"/>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9"/>
    </row>
    <row r="317" ht="15" customHeight="1">
      <c r="A317" s="27"/>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9"/>
    </row>
    <row r="318" ht="15" customHeight="1">
      <c r="A318" s="27"/>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9"/>
    </row>
    <row r="319" ht="15" customHeight="1">
      <c r="A319" s="27"/>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9"/>
    </row>
    <row r="320" ht="15" customHeight="1">
      <c r="A320" s="27"/>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9"/>
    </row>
    <row r="321" ht="15" customHeight="1">
      <c r="A321" s="27"/>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9"/>
    </row>
    <row r="322" ht="15" customHeight="1">
      <c r="A322" s="27"/>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9"/>
    </row>
    <row r="323" ht="15" customHeight="1">
      <c r="A323" s="27"/>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9"/>
    </row>
    <row r="324" ht="15" customHeight="1">
      <c r="A324" s="27"/>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9"/>
    </row>
    <row r="325" ht="15" customHeight="1">
      <c r="A325" s="27"/>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9"/>
    </row>
    <row r="326" ht="15" customHeight="1">
      <c r="A326" s="27"/>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9"/>
    </row>
    <row r="327" ht="15" customHeight="1">
      <c r="A327" s="27"/>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9"/>
    </row>
    <row r="328" ht="15" customHeight="1">
      <c r="A328" s="27"/>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9"/>
    </row>
    <row r="329" ht="15" customHeight="1">
      <c r="A329" s="27"/>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9"/>
    </row>
    <row r="330" ht="15" customHeight="1">
      <c r="A330" s="27"/>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9"/>
    </row>
    <row r="331" ht="15" customHeight="1">
      <c r="A331" s="27"/>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9"/>
    </row>
    <row r="332" ht="15" customHeight="1">
      <c r="A332" s="27"/>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9"/>
    </row>
    <row r="333" ht="15" customHeight="1">
      <c r="A333" s="27"/>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9"/>
    </row>
    <row r="334" ht="15" customHeight="1">
      <c r="A334" s="27"/>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9"/>
    </row>
    <row r="335" ht="15" customHeight="1">
      <c r="A335" s="27"/>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9"/>
    </row>
    <row r="336" ht="15" customHeight="1">
      <c r="A336" s="27"/>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9"/>
    </row>
    <row r="337" ht="15" customHeight="1">
      <c r="A337" s="27"/>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9"/>
    </row>
    <row r="338" ht="15" customHeight="1">
      <c r="A338" s="27"/>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9"/>
    </row>
    <row r="339" ht="15" customHeight="1">
      <c r="A339" s="27"/>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9"/>
    </row>
    <row r="340" ht="15" customHeight="1">
      <c r="A340" s="27"/>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9"/>
    </row>
    <row r="341" ht="15" customHeight="1">
      <c r="A341" s="27"/>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9"/>
    </row>
    <row r="342" ht="15" customHeight="1">
      <c r="A342" s="27"/>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9"/>
    </row>
    <row r="343" ht="15" customHeight="1">
      <c r="A343" s="27"/>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9"/>
    </row>
    <row r="344" ht="15" customHeight="1">
      <c r="A344" s="27"/>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9"/>
    </row>
    <row r="345" ht="15" customHeight="1">
      <c r="A345" s="27"/>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9"/>
    </row>
    <row r="346" ht="15" customHeight="1">
      <c r="A346" s="27"/>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9"/>
    </row>
    <row r="347" ht="15" customHeight="1">
      <c r="A347" s="27"/>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9"/>
    </row>
    <row r="348" ht="15" customHeight="1">
      <c r="A348" s="27"/>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9"/>
    </row>
    <row r="349" ht="15" customHeight="1">
      <c r="A349" s="27"/>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9"/>
    </row>
    <row r="350" ht="15" customHeight="1">
      <c r="A350" s="27"/>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9"/>
    </row>
    <row r="351" ht="15" customHeight="1">
      <c r="A351" s="27"/>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9"/>
    </row>
    <row r="352" ht="15" customHeight="1">
      <c r="A352" s="27"/>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9"/>
    </row>
    <row r="353" ht="15" customHeight="1">
      <c r="A353" s="27"/>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9"/>
    </row>
    <row r="354" ht="15" customHeight="1">
      <c r="A354" s="27"/>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9"/>
    </row>
    <row r="355" ht="15" customHeight="1">
      <c r="A355" s="27"/>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9"/>
    </row>
    <row r="356" ht="15" customHeight="1">
      <c r="A356" s="27"/>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9"/>
    </row>
    <row r="357" ht="15" customHeight="1">
      <c r="A357" s="27"/>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9"/>
    </row>
    <row r="358" ht="15" customHeight="1">
      <c r="A358" s="27"/>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9"/>
    </row>
    <row r="359" ht="15" customHeight="1">
      <c r="A359" s="27"/>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9"/>
    </row>
    <row r="360" ht="15" customHeight="1">
      <c r="A360" s="27"/>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9"/>
    </row>
    <row r="361" ht="15" customHeight="1">
      <c r="A361" s="27"/>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9"/>
    </row>
    <row r="362" ht="15" customHeight="1">
      <c r="A362" s="27"/>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9"/>
    </row>
    <row r="363" ht="15" customHeight="1">
      <c r="A363" s="27"/>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9"/>
    </row>
    <row r="364" ht="15" customHeight="1">
      <c r="A364" s="27"/>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9"/>
    </row>
    <row r="365" ht="15" customHeight="1">
      <c r="A365" s="27"/>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9"/>
    </row>
    <row r="366" ht="15" customHeight="1">
      <c r="A366" s="27"/>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9"/>
    </row>
    <row r="367" ht="15" customHeight="1">
      <c r="A367" s="27"/>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9"/>
    </row>
    <row r="368" ht="15" customHeight="1">
      <c r="A368" s="27"/>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9"/>
    </row>
    <row r="369" ht="15" customHeight="1">
      <c r="A369" s="27"/>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9"/>
    </row>
    <row r="370" ht="15" customHeight="1">
      <c r="A370" s="27"/>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9"/>
    </row>
    <row r="371" ht="15" customHeight="1">
      <c r="A371" s="27"/>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9"/>
    </row>
    <row r="372" ht="15" customHeight="1">
      <c r="A372" s="27"/>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9"/>
    </row>
    <row r="373" ht="15" customHeight="1">
      <c r="A373" s="27"/>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9"/>
    </row>
    <row r="374" ht="15" customHeight="1">
      <c r="A374" s="27"/>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9"/>
    </row>
    <row r="375" ht="15" customHeight="1">
      <c r="A375" s="27"/>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9"/>
    </row>
    <row r="376" ht="15" customHeight="1">
      <c r="A376" s="27"/>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9"/>
    </row>
    <row r="377" ht="15" customHeight="1">
      <c r="A377" s="27"/>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9"/>
    </row>
    <row r="378" ht="15" customHeight="1">
      <c r="A378" s="27"/>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9"/>
    </row>
    <row r="379" ht="15" customHeight="1">
      <c r="A379" s="27"/>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9"/>
    </row>
    <row r="380" ht="15" customHeight="1">
      <c r="A380" s="27"/>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9"/>
    </row>
    <row r="381" ht="15" customHeight="1">
      <c r="A381" s="27"/>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9"/>
    </row>
    <row r="382" ht="15" customHeight="1">
      <c r="A382" s="27"/>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9"/>
    </row>
    <row r="383" ht="15" customHeight="1">
      <c r="A383" s="27"/>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9"/>
    </row>
    <row r="384" ht="15" customHeight="1">
      <c r="A384" s="27"/>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9"/>
    </row>
    <row r="385" ht="15" customHeight="1">
      <c r="A385" s="27"/>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9"/>
    </row>
    <row r="386" ht="15" customHeight="1">
      <c r="A386" s="27"/>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9"/>
    </row>
    <row r="387" ht="15" customHeight="1">
      <c r="A387" s="27"/>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9"/>
    </row>
    <row r="388" ht="15" customHeight="1">
      <c r="A388" s="27"/>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9"/>
    </row>
    <row r="389" ht="15" customHeight="1">
      <c r="A389" s="27"/>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9"/>
    </row>
    <row r="390" ht="15" customHeight="1">
      <c r="A390" s="27"/>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9"/>
    </row>
    <row r="391" ht="15" customHeight="1">
      <c r="A391" s="27"/>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9"/>
    </row>
    <row r="392" ht="15" customHeight="1">
      <c r="A392" s="27"/>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9"/>
    </row>
    <row r="393" ht="15" customHeight="1">
      <c r="A393" s="27"/>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9"/>
    </row>
    <row r="394" ht="15" customHeight="1">
      <c r="A394" s="27"/>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9"/>
    </row>
    <row r="395" ht="15" customHeight="1">
      <c r="A395" s="27"/>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9"/>
    </row>
    <row r="396" ht="15" customHeight="1">
      <c r="A396" s="27"/>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9"/>
    </row>
    <row r="397" ht="15" customHeight="1">
      <c r="A397" s="27"/>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9"/>
    </row>
    <row r="398" ht="15" customHeight="1">
      <c r="A398" s="27"/>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9"/>
    </row>
    <row r="399" ht="15" customHeight="1">
      <c r="A399" s="27"/>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9"/>
    </row>
    <row r="400" ht="15" customHeight="1">
      <c r="A400" s="27"/>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9"/>
    </row>
    <row r="401" ht="15" customHeight="1">
      <c r="A401" s="27"/>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9"/>
    </row>
    <row r="402" ht="15" customHeight="1">
      <c r="A402" s="27"/>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9"/>
    </row>
    <row r="403" ht="15" customHeight="1">
      <c r="A403" s="27"/>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9"/>
    </row>
    <row r="404" ht="15" customHeight="1">
      <c r="A404" s="27"/>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9"/>
    </row>
    <row r="405" ht="15" customHeight="1">
      <c r="A405" s="27"/>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9"/>
    </row>
    <row r="406" ht="15" customHeight="1">
      <c r="A406" s="27"/>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9"/>
    </row>
    <row r="407" ht="15" customHeight="1">
      <c r="A407" s="27"/>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9"/>
    </row>
    <row r="408" ht="15" customHeight="1">
      <c r="A408" s="27"/>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9"/>
    </row>
    <row r="409" ht="15" customHeight="1">
      <c r="A409" s="27"/>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9"/>
    </row>
    <row r="410" ht="15" customHeight="1">
      <c r="A410" s="27"/>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9"/>
    </row>
    <row r="411" ht="15" customHeight="1">
      <c r="A411" s="27"/>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9"/>
    </row>
    <row r="412" ht="15" customHeight="1">
      <c r="A412" s="27"/>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9"/>
    </row>
    <row r="413" ht="15" customHeight="1">
      <c r="A413" s="27"/>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9"/>
    </row>
    <row r="414" ht="15" customHeight="1">
      <c r="A414" s="27"/>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9"/>
    </row>
    <row r="415" ht="15" customHeight="1">
      <c r="A415" s="27"/>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9"/>
    </row>
    <row r="416" ht="15" customHeight="1">
      <c r="A416" s="27"/>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9"/>
    </row>
    <row r="417" ht="15" customHeight="1">
      <c r="A417" s="27"/>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9"/>
    </row>
    <row r="418" ht="15" customHeight="1">
      <c r="A418" s="27"/>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9"/>
    </row>
    <row r="419" ht="15" customHeight="1">
      <c r="A419" s="27"/>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9"/>
    </row>
    <row r="420" ht="15" customHeight="1">
      <c r="A420" s="27"/>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9"/>
    </row>
    <row r="421" ht="15" customHeight="1">
      <c r="A421" s="27"/>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9"/>
    </row>
    <row r="422" ht="15" customHeight="1">
      <c r="A422" s="27"/>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9"/>
    </row>
    <row r="423" ht="15" customHeight="1">
      <c r="A423" s="27"/>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9"/>
    </row>
    <row r="424" ht="15" customHeight="1">
      <c r="A424" s="27"/>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9"/>
    </row>
    <row r="425" ht="15" customHeight="1">
      <c r="A425" s="27"/>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9"/>
    </row>
    <row r="426" ht="15" customHeight="1">
      <c r="A426" s="27"/>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9"/>
    </row>
    <row r="427" ht="15" customHeight="1">
      <c r="A427" s="27"/>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9"/>
    </row>
    <row r="428" ht="15" customHeight="1">
      <c r="A428" s="27"/>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9"/>
    </row>
    <row r="429" ht="15" customHeight="1">
      <c r="A429" s="27"/>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9"/>
    </row>
    <row r="430" ht="15" customHeight="1">
      <c r="A430" s="27"/>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9"/>
    </row>
    <row r="431" ht="15" customHeight="1">
      <c r="A431" s="27"/>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9"/>
    </row>
    <row r="432" ht="15" customHeight="1">
      <c r="A432" s="27"/>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9"/>
    </row>
    <row r="433" ht="15" customHeight="1">
      <c r="A433" s="27"/>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9"/>
    </row>
    <row r="434" ht="15" customHeight="1">
      <c r="A434" s="27"/>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9"/>
    </row>
    <row r="435" ht="15" customHeight="1">
      <c r="A435" s="27"/>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9"/>
    </row>
    <row r="436" ht="15" customHeight="1">
      <c r="A436" s="27"/>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9"/>
    </row>
    <row r="437" ht="15" customHeight="1">
      <c r="A437" s="27"/>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9"/>
    </row>
    <row r="438" ht="15" customHeight="1">
      <c r="A438" s="27"/>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9"/>
    </row>
    <row r="439" ht="15" customHeight="1">
      <c r="A439" s="27"/>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9"/>
    </row>
    <row r="440" ht="15" customHeight="1">
      <c r="A440" s="27"/>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9"/>
    </row>
    <row r="441" ht="15" customHeight="1">
      <c r="A441" s="27"/>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9"/>
    </row>
    <row r="442" ht="15" customHeight="1">
      <c r="A442" s="27"/>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9"/>
    </row>
    <row r="443" ht="15" customHeight="1">
      <c r="A443" s="27"/>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9"/>
    </row>
    <row r="444" ht="15" customHeight="1">
      <c r="A444" s="27"/>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9"/>
    </row>
    <row r="445" ht="15" customHeight="1">
      <c r="A445" s="27"/>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9"/>
    </row>
    <row r="446" ht="15" customHeight="1">
      <c r="A446" s="27"/>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9"/>
    </row>
    <row r="447" ht="15" customHeight="1">
      <c r="A447" s="27"/>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9"/>
    </row>
    <row r="448" ht="15" customHeight="1">
      <c r="A448" s="27"/>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9"/>
    </row>
    <row r="449" ht="15" customHeight="1">
      <c r="A449" s="27"/>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9"/>
    </row>
    <row r="450" ht="15" customHeight="1">
      <c r="A450" s="27"/>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9"/>
    </row>
    <row r="451" ht="15" customHeight="1">
      <c r="A451" s="27"/>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9"/>
    </row>
    <row r="452" ht="15" customHeight="1">
      <c r="A452" s="27"/>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9"/>
    </row>
    <row r="453" ht="15" customHeight="1">
      <c r="A453" s="27"/>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9"/>
    </row>
    <row r="454" ht="15" customHeight="1">
      <c r="A454" s="27"/>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9"/>
    </row>
    <row r="455" ht="15" customHeight="1">
      <c r="A455" s="27"/>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9"/>
    </row>
    <row r="456" ht="15" customHeight="1">
      <c r="A456" s="27"/>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9"/>
    </row>
    <row r="457" ht="15" customHeight="1">
      <c r="A457" s="27"/>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9"/>
    </row>
    <row r="458" ht="15" customHeight="1">
      <c r="A458" s="27"/>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9"/>
    </row>
    <row r="459" ht="15" customHeight="1">
      <c r="A459" s="27"/>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9"/>
    </row>
    <row r="460" ht="15" customHeight="1">
      <c r="A460" s="27"/>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9"/>
    </row>
    <row r="461" ht="15" customHeight="1">
      <c r="A461" s="27"/>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9"/>
    </row>
    <row r="462" ht="15" customHeight="1">
      <c r="A462" s="27"/>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9"/>
    </row>
    <row r="463" ht="15" customHeight="1">
      <c r="A463" s="27"/>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9"/>
    </row>
    <row r="464" ht="15" customHeight="1">
      <c r="A464" s="27"/>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9"/>
    </row>
    <row r="465" ht="15" customHeight="1">
      <c r="A465" s="27"/>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9"/>
    </row>
    <row r="466" ht="15" customHeight="1">
      <c r="A466" s="27"/>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9"/>
    </row>
    <row r="467" ht="15" customHeight="1">
      <c r="A467" s="27"/>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9"/>
    </row>
    <row r="468" ht="15" customHeight="1">
      <c r="A468" s="27"/>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9"/>
    </row>
    <row r="469" ht="15" customHeight="1">
      <c r="A469" s="27"/>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9"/>
    </row>
    <row r="470" ht="15" customHeight="1">
      <c r="A470" s="27"/>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9"/>
    </row>
    <row r="471" ht="15" customHeight="1">
      <c r="A471" s="27"/>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9"/>
    </row>
    <row r="472" ht="15" customHeight="1">
      <c r="A472" s="27"/>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9"/>
    </row>
    <row r="473" ht="15" customHeight="1">
      <c r="A473" s="27"/>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9"/>
    </row>
    <row r="474" ht="15" customHeight="1">
      <c r="A474" s="27"/>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9"/>
    </row>
    <row r="475" ht="15" customHeight="1">
      <c r="A475" s="27"/>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9"/>
    </row>
    <row r="476" ht="15" customHeight="1">
      <c r="A476" s="27"/>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9"/>
    </row>
    <row r="477" ht="15" customHeight="1">
      <c r="A477" s="27"/>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9"/>
    </row>
    <row r="478" ht="15" customHeight="1">
      <c r="A478" s="27"/>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9"/>
    </row>
    <row r="479" ht="15" customHeight="1">
      <c r="A479" s="27"/>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9"/>
    </row>
    <row r="480" ht="15" customHeight="1">
      <c r="A480" s="27"/>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9"/>
    </row>
    <row r="481" ht="15" customHeight="1">
      <c r="A481" s="27"/>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9"/>
    </row>
    <row r="482" ht="15" customHeight="1">
      <c r="A482" s="27"/>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9"/>
    </row>
    <row r="483" ht="15" customHeight="1">
      <c r="A483" s="27"/>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9"/>
    </row>
    <row r="484" ht="15" customHeight="1">
      <c r="A484" s="27"/>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9"/>
    </row>
    <row r="485" ht="15" customHeight="1">
      <c r="A485" s="27"/>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9"/>
    </row>
    <row r="486" ht="15" customHeight="1">
      <c r="A486" s="27"/>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9"/>
    </row>
    <row r="487" ht="15" customHeight="1">
      <c r="A487" s="27"/>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9"/>
    </row>
    <row r="488" ht="15" customHeight="1">
      <c r="A488" s="27"/>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9"/>
    </row>
    <row r="489" ht="15" customHeight="1">
      <c r="A489" s="27"/>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9"/>
    </row>
    <row r="490" ht="15" customHeight="1">
      <c r="A490" s="27"/>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9"/>
    </row>
    <row r="491" ht="15" customHeight="1">
      <c r="A491" s="27"/>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9"/>
    </row>
    <row r="492" ht="15" customHeight="1">
      <c r="A492" s="27"/>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9"/>
    </row>
    <row r="493" ht="15" customHeight="1">
      <c r="A493" s="27"/>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9"/>
    </row>
    <row r="494" ht="15" customHeight="1">
      <c r="A494" s="27"/>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9"/>
    </row>
    <row r="495" ht="15" customHeight="1">
      <c r="A495" s="27"/>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9"/>
    </row>
    <row r="496" ht="15" customHeight="1">
      <c r="A496" s="27"/>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9"/>
    </row>
    <row r="497" ht="15" customHeight="1">
      <c r="A497" s="27"/>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9"/>
    </row>
    <row r="498" ht="15" customHeight="1">
      <c r="A498" s="27"/>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9"/>
    </row>
    <row r="499" ht="15" customHeight="1">
      <c r="A499" s="27"/>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9"/>
    </row>
    <row r="500" ht="15" customHeight="1">
      <c r="A500" s="27"/>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9"/>
    </row>
    <row r="501" ht="15" customHeight="1">
      <c r="A501" s="27"/>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9"/>
    </row>
    <row r="502" ht="15" customHeight="1">
      <c r="A502" s="27"/>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9"/>
    </row>
    <row r="503" ht="15" customHeight="1">
      <c r="A503" s="27"/>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9"/>
    </row>
    <row r="504" ht="15" customHeight="1">
      <c r="A504" s="27"/>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9"/>
    </row>
    <row r="505" ht="15" customHeight="1">
      <c r="A505" s="27"/>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9"/>
    </row>
    <row r="506" ht="15" customHeight="1">
      <c r="A506" s="27"/>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9"/>
    </row>
    <row r="507" ht="15" customHeight="1">
      <c r="A507" s="27"/>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9"/>
    </row>
    <row r="508" ht="15" customHeight="1">
      <c r="A508" s="27"/>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9"/>
    </row>
    <row r="509" ht="15" customHeight="1">
      <c r="A509" s="27"/>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9"/>
    </row>
    <row r="510" ht="15" customHeight="1">
      <c r="A510" s="27"/>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9"/>
    </row>
    <row r="511" ht="15" customHeight="1">
      <c r="A511" s="27"/>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9"/>
    </row>
    <row r="512" ht="15" customHeight="1">
      <c r="A512" s="27"/>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9"/>
    </row>
    <row r="513" ht="15" customHeight="1">
      <c r="A513" s="27"/>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9"/>
    </row>
    <row r="514" ht="15" customHeight="1">
      <c r="A514" s="27"/>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9"/>
    </row>
    <row r="515" ht="15" customHeight="1">
      <c r="A515" s="27"/>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9"/>
    </row>
    <row r="516" ht="15" customHeight="1">
      <c r="A516" s="27"/>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9"/>
    </row>
    <row r="517" ht="15" customHeight="1">
      <c r="A517" s="27"/>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9"/>
    </row>
    <row r="518" ht="15" customHeight="1">
      <c r="A518" s="27"/>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9"/>
    </row>
    <row r="519" ht="15" customHeight="1">
      <c r="A519" s="27"/>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9"/>
    </row>
    <row r="520" ht="15" customHeight="1">
      <c r="A520" s="27"/>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9"/>
    </row>
    <row r="521" ht="15" customHeight="1">
      <c r="A521" s="27"/>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9"/>
    </row>
    <row r="522" ht="15" customHeight="1">
      <c r="A522" s="27"/>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9"/>
    </row>
    <row r="523" ht="15" customHeight="1">
      <c r="A523" s="27"/>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9"/>
    </row>
    <row r="524" ht="15" customHeight="1">
      <c r="A524" s="27"/>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9"/>
    </row>
    <row r="525" ht="15" customHeight="1">
      <c r="A525" s="27"/>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9"/>
    </row>
    <row r="526" ht="15" customHeight="1">
      <c r="A526" s="27"/>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9"/>
    </row>
    <row r="527" ht="15" customHeight="1">
      <c r="A527" s="27"/>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9"/>
    </row>
    <row r="528" ht="15" customHeight="1">
      <c r="A528" s="27"/>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9"/>
    </row>
    <row r="529" ht="15" customHeight="1">
      <c r="A529" s="27"/>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9"/>
    </row>
    <row r="530" ht="15" customHeight="1">
      <c r="A530" s="27"/>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9"/>
    </row>
    <row r="531" ht="15" customHeight="1">
      <c r="A531" s="27"/>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9"/>
    </row>
    <row r="532" ht="15" customHeight="1">
      <c r="A532" s="27"/>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9"/>
    </row>
    <row r="533" ht="15" customHeight="1">
      <c r="A533" s="27"/>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9"/>
    </row>
    <row r="534" ht="15" customHeight="1">
      <c r="A534" s="27"/>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9"/>
    </row>
    <row r="535" ht="15" customHeight="1">
      <c r="A535" s="27"/>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9"/>
    </row>
    <row r="536" ht="15" customHeight="1">
      <c r="A536" s="27"/>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9"/>
    </row>
    <row r="537" ht="15" customHeight="1">
      <c r="A537" s="27"/>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9"/>
    </row>
    <row r="538" ht="15" customHeight="1">
      <c r="A538" s="27"/>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9"/>
    </row>
    <row r="539" ht="15" customHeight="1">
      <c r="A539" s="27"/>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9"/>
    </row>
    <row r="540" ht="15" customHeight="1">
      <c r="A540" s="27"/>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9"/>
    </row>
    <row r="541" ht="15" customHeight="1">
      <c r="A541" s="27"/>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9"/>
    </row>
    <row r="542" ht="15" customHeight="1">
      <c r="A542" s="27"/>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9"/>
    </row>
    <row r="543" ht="15" customHeight="1">
      <c r="A543" s="27"/>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9"/>
    </row>
    <row r="544" ht="15" customHeight="1">
      <c r="A544" s="27"/>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9"/>
    </row>
    <row r="545" ht="15" customHeight="1">
      <c r="A545" s="27"/>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9"/>
    </row>
    <row r="546" ht="15" customHeight="1">
      <c r="A546" s="27"/>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9"/>
    </row>
    <row r="547" ht="15" customHeight="1">
      <c r="A547" s="27"/>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9"/>
    </row>
    <row r="548" ht="15" customHeight="1">
      <c r="A548" s="27"/>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9"/>
    </row>
    <row r="549" ht="15" customHeight="1">
      <c r="A549" s="27"/>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9"/>
    </row>
    <row r="550" ht="15" customHeight="1">
      <c r="A550" s="27"/>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9"/>
    </row>
    <row r="551" ht="15" customHeight="1">
      <c r="A551" s="27"/>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9"/>
    </row>
    <row r="552" ht="15" customHeight="1">
      <c r="A552" s="27"/>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9"/>
    </row>
    <row r="553" ht="15" customHeight="1">
      <c r="A553" s="27"/>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9"/>
    </row>
    <row r="554" ht="15" customHeight="1">
      <c r="A554" s="27"/>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9"/>
    </row>
    <row r="555" ht="15" customHeight="1">
      <c r="A555" s="27"/>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9"/>
    </row>
    <row r="556" ht="15" customHeight="1">
      <c r="A556" s="27"/>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9"/>
    </row>
    <row r="557" ht="15" customHeight="1">
      <c r="A557" s="27"/>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9"/>
    </row>
    <row r="558" ht="15" customHeight="1">
      <c r="A558" s="27"/>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9"/>
    </row>
    <row r="559" ht="15" customHeight="1">
      <c r="A559" s="27"/>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9"/>
    </row>
    <row r="560" ht="15" customHeight="1">
      <c r="A560" s="27"/>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9"/>
    </row>
    <row r="561" ht="15" customHeight="1">
      <c r="A561" s="27"/>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9"/>
    </row>
    <row r="562" ht="15" customHeight="1">
      <c r="A562" s="27"/>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9"/>
    </row>
    <row r="563" ht="15" customHeight="1">
      <c r="A563" s="27"/>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9"/>
    </row>
    <row r="564" ht="15" customHeight="1">
      <c r="A564" s="27"/>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9"/>
    </row>
    <row r="565" ht="15" customHeight="1">
      <c r="A565" s="27"/>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9"/>
    </row>
    <row r="566" ht="15" customHeight="1">
      <c r="A566" s="27"/>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9"/>
    </row>
    <row r="567" ht="15" customHeight="1">
      <c r="A567" s="27"/>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9"/>
    </row>
    <row r="568" ht="15" customHeight="1">
      <c r="A568" s="27"/>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9"/>
    </row>
    <row r="569" ht="15" customHeight="1">
      <c r="A569" s="27"/>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9"/>
    </row>
    <row r="570" ht="15" customHeight="1">
      <c r="A570" s="27"/>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9"/>
    </row>
    <row r="571" ht="15" customHeight="1">
      <c r="A571" s="27"/>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9"/>
    </row>
    <row r="572" ht="15" customHeight="1">
      <c r="A572" s="27"/>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9"/>
    </row>
    <row r="573" ht="15" customHeight="1">
      <c r="A573" s="27"/>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9"/>
    </row>
    <row r="574" ht="15" customHeight="1">
      <c r="A574" s="27"/>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9"/>
    </row>
    <row r="575" ht="15" customHeight="1">
      <c r="A575" s="27"/>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9"/>
    </row>
    <row r="576" ht="15" customHeight="1">
      <c r="A576" s="27"/>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9"/>
    </row>
    <row r="577" ht="15" customHeight="1">
      <c r="A577" s="27"/>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9"/>
    </row>
    <row r="578" ht="15" customHeight="1">
      <c r="A578" s="27"/>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9"/>
    </row>
    <row r="579" ht="15" customHeight="1">
      <c r="A579" s="27"/>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9"/>
    </row>
    <row r="580" ht="15" customHeight="1">
      <c r="A580" s="27"/>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9"/>
    </row>
    <row r="581" ht="15" customHeight="1">
      <c r="A581" s="27"/>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9"/>
    </row>
    <row r="582" ht="15" customHeight="1">
      <c r="A582" s="27"/>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9"/>
    </row>
    <row r="583" ht="15" customHeight="1">
      <c r="A583" s="27"/>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9"/>
    </row>
    <row r="584" ht="15" customHeight="1">
      <c r="A584" s="27"/>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9"/>
    </row>
    <row r="585" ht="15" customHeight="1">
      <c r="A585" s="27"/>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9"/>
    </row>
    <row r="586" ht="15" customHeight="1">
      <c r="A586" s="27"/>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9"/>
    </row>
    <row r="587" ht="15" customHeight="1">
      <c r="A587" s="27"/>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9"/>
    </row>
    <row r="588" ht="15" customHeight="1">
      <c r="A588" s="27"/>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9"/>
    </row>
    <row r="589" ht="15" customHeight="1">
      <c r="A589" s="27"/>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9"/>
    </row>
    <row r="590" ht="15" customHeight="1">
      <c r="A590" s="27"/>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9"/>
    </row>
    <row r="591" ht="15" customHeight="1">
      <c r="A591" s="27"/>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9"/>
    </row>
    <row r="592" ht="15" customHeight="1">
      <c r="A592" s="27"/>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9"/>
    </row>
    <row r="593" ht="15" customHeight="1">
      <c r="A593" s="27"/>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9"/>
    </row>
    <row r="594" ht="15" customHeight="1">
      <c r="A594" s="27"/>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9"/>
    </row>
    <row r="595" ht="15" customHeight="1">
      <c r="A595" s="27"/>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9"/>
    </row>
    <row r="596" ht="15" customHeight="1">
      <c r="A596" s="27"/>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9"/>
    </row>
    <row r="597" ht="15" customHeight="1">
      <c r="A597" s="27"/>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9"/>
    </row>
    <row r="598" ht="15" customHeight="1">
      <c r="A598" s="27"/>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9"/>
    </row>
    <row r="599" ht="15" customHeight="1">
      <c r="A599" s="27"/>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9"/>
    </row>
    <row r="600" ht="15" customHeight="1">
      <c r="A600" s="27"/>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9"/>
    </row>
    <row r="601" ht="15" customHeight="1">
      <c r="A601" s="27"/>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9"/>
    </row>
    <row r="602" ht="15" customHeight="1">
      <c r="A602" s="27"/>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9"/>
    </row>
    <row r="603" ht="15" customHeight="1">
      <c r="A603" s="27"/>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9"/>
    </row>
    <row r="604" ht="15" customHeight="1">
      <c r="A604" s="27"/>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9"/>
    </row>
    <row r="605" ht="15" customHeight="1">
      <c r="A605" s="27"/>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9"/>
    </row>
    <row r="606" ht="15" customHeight="1">
      <c r="A606" s="27"/>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9"/>
    </row>
    <row r="607" ht="15" customHeight="1">
      <c r="A607" s="27"/>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9"/>
    </row>
    <row r="608" ht="15" customHeight="1">
      <c r="A608" s="27"/>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9"/>
    </row>
    <row r="609" ht="15" customHeight="1">
      <c r="A609" s="27"/>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9"/>
    </row>
    <row r="610" ht="15" customHeight="1">
      <c r="A610" s="27"/>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9"/>
    </row>
    <row r="611" ht="15" customHeight="1">
      <c r="A611" s="27"/>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9"/>
    </row>
    <row r="612" ht="15" customHeight="1">
      <c r="A612" s="27"/>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9"/>
    </row>
    <row r="613" ht="15" customHeight="1">
      <c r="A613" s="27"/>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9"/>
    </row>
    <row r="614" ht="15" customHeight="1">
      <c r="A614" s="27"/>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9"/>
    </row>
    <row r="615" ht="15" customHeight="1">
      <c r="A615" s="27"/>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9"/>
    </row>
    <row r="616" ht="15" customHeight="1">
      <c r="A616" s="27"/>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9"/>
    </row>
    <row r="617" ht="15" customHeight="1">
      <c r="A617" s="27"/>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9"/>
    </row>
    <row r="618" ht="15" customHeight="1">
      <c r="A618" s="27"/>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9"/>
    </row>
    <row r="619" ht="15" customHeight="1">
      <c r="A619" s="27"/>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9"/>
    </row>
    <row r="620" ht="15" customHeight="1">
      <c r="A620" s="27"/>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9"/>
    </row>
    <row r="621" ht="15" customHeight="1">
      <c r="A621" s="27"/>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9"/>
    </row>
    <row r="622" ht="15" customHeight="1">
      <c r="A622" s="27"/>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9"/>
    </row>
    <row r="623" ht="15" customHeight="1">
      <c r="A623" s="27"/>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9"/>
    </row>
    <row r="624" ht="15" customHeight="1">
      <c r="A624" s="27"/>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9"/>
    </row>
    <row r="625" ht="15" customHeight="1">
      <c r="A625" s="27"/>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9"/>
    </row>
    <row r="626" ht="15" customHeight="1">
      <c r="A626" s="27"/>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9"/>
    </row>
    <row r="627" ht="15" customHeight="1">
      <c r="A627" s="27"/>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9"/>
    </row>
    <row r="628" ht="15" customHeight="1">
      <c r="A628" s="27"/>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9"/>
    </row>
    <row r="629" ht="15" customHeight="1">
      <c r="A629" s="27"/>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9"/>
    </row>
    <row r="630" ht="15" customHeight="1">
      <c r="A630" s="27"/>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9"/>
    </row>
    <row r="631" ht="15" customHeight="1">
      <c r="A631" s="27"/>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9"/>
    </row>
    <row r="632" ht="15" customHeight="1">
      <c r="A632" s="27"/>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9"/>
    </row>
    <row r="633" ht="15" customHeight="1">
      <c r="A633" s="27"/>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9"/>
    </row>
    <row r="634" ht="15" customHeight="1">
      <c r="A634" s="27"/>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9"/>
    </row>
    <row r="635" ht="15" customHeight="1">
      <c r="A635" s="27"/>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9"/>
    </row>
    <row r="636" ht="15" customHeight="1">
      <c r="A636" s="27"/>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9"/>
    </row>
    <row r="637" ht="15" customHeight="1">
      <c r="A637" s="27"/>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9"/>
    </row>
    <row r="638" ht="15" customHeight="1">
      <c r="A638" s="27"/>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9"/>
    </row>
    <row r="639" ht="15" customHeight="1">
      <c r="A639" s="27"/>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9"/>
    </row>
    <row r="640" ht="15" customHeight="1">
      <c r="A640" s="27"/>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9"/>
    </row>
    <row r="641" ht="15" customHeight="1">
      <c r="A641" s="27"/>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9"/>
    </row>
    <row r="642" ht="15" customHeight="1">
      <c r="A642" s="27"/>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9"/>
    </row>
    <row r="643" ht="15" customHeight="1">
      <c r="A643" s="27"/>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9"/>
    </row>
    <row r="644" ht="15" customHeight="1">
      <c r="A644" s="27"/>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9"/>
    </row>
    <row r="645" ht="15" customHeight="1">
      <c r="A645" s="27"/>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9"/>
    </row>
    <row r="646" ht="15" customHeight="1">
      <c r="A646" s="27"/>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9"/>
    </row>
    <row r="647" ht="15" customHeight="1">
      <c r="A647" s="27"/>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9"/>
    </row>
    <row r="648" ht="15" customHeight="1">
      <c r="A648" s="27"/>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9"/>
    </row>
    <row r="649" ht="15" customHeight="1">
      <c r="A649" s="27"/>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9"/>
    </row>
    <row r="650" ht="15" customHeight="1">
      <c r="A650" s="27"/>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9"/>
    </row>
    <row r="651" ht="15" customHeight="1">
      <c r="A651" s="27"/>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9"/>
    </row>
    <row r="652" ht="15" customHeight="1">
      <c r="A652" s="27"/>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9"/>
    </row>
    <row r="653" ht="15" customHeight="1">
      <c r="A653" s="27"/>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9"/>
    </row>
    <row r="654" ht="15" customHeight="1">
      <c r="A654" s="27"/>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9"/>
    </row>
    <row r="655" ht="15" customHeight="1">
      <c r="A655" s="27"/>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9"/>
    </row>
    <row r="656" ht="15" customHeight="1">
      <c r="A656" s="27"/>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9"/>
    </row>
    <row r="657" ht="15" customHeight="1">
      <c r="A657" s="27"/>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9"/>
    </row>
    <row r="658" ht="15" customHeight="1">
      <c r="A658" s="27"/>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9"/>
    </row>
    <row r="659" ht="15" customHeight="1">
      <c r="A659" s="27"/>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9"/>
    </row>
    <row r="660" ht="15" customHeight="1">
      <c r="A660" s="27"/>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9"/>
    </row>
    <row r="661" ht="15" customHeight="1">
      <c r="A661" s="27"/>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9"/>
    </row>
    <row r="662" ht="15" customHeight="1">
      <c r="A662" s="27"/>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9"/>
    </row>
    <row r="663" ht="15" customHeight="1">
      <c r="A663" s="27"/>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9"/>
    </row>
    <row r="664" ht="15" customHeight="1">
      <c r="A664" s="27"/>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9"/>
    </row>
    <row r="665" ht="15" customHeight="1">
      <c r="A665" s="27"/>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9"/>
    </row>
    <row r="666" ht="15" customHeight="1">
      <c r="A666" s="27"/>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9"/>
    </row>
    <row r="667" ht="15" customHeight="1">
      <c r="A667" s="27"/>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9"/>
    </row>
    <row r="668" ht="15" customHeight="1">
      <c r="A668" s="27"/>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9"/>
    </row>
    <row r="669" ht="15" customHeight="1">
      <c r="A669" s="27"/>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9"/>
    </row>
    <row r="670" ht="15" customHeight="1">
      <c r="A670" s="27"/>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9"/>
    </row>
    <row r="671" ht="15" customHeight="1">
      <c r="A671" s="27"/>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9"/>
    </row>
    <row r="672" ht="15" customHeight="1">
      <c r="A672" s="27"/>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9"/>
    </row>
    <row r="673" ht="15" customHeight="1">
      <c r="A673" s="27"/>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9"/>
    </row>
    <row r="674" ht="15" customHeight="1">
      <c r="A674" s="27"/>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9"/>
    </row>
    <row r="675" ht="15" customHeight="1">
      <c r="A675" s="27"/>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9"/>
    </row>
    <row r="676" ht="15" customHeight="1">
      <c r="A676" s="27"/>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9"/>
    </row>
    <row r="677" ht="15" customHeight="1">
      <c r="A677" s="27"/>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9"/>
    </row>
    <row r="678" ht="15" customHeight="1">
      <c r="A678" s="27"/>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9"/>
    </row>
    <row r="679" ht="15" customHeight="1">
      <c r="A679" s="27"/>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9"/>
    </row>
    <row r="680" ht="15" customHeight="1">
      <c r="A680" s="27"/>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9"/>
    </row>
    <row r="681" ht="15" customHeight="1">
      <c r="A681" s="27"/>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9"/>
    </row>
    <row r="682" ht="15" customHeight="1">
      <c r="A682" s="27"/>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9"/>
    </row>
    <row r="683" ht="15" customHeight="1">
      <c r="A683" s="27"/>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9"/>
    </row>
    <row r="684" ht="15" customHeight="1">
      <c r="A684" s="27"/>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9"/>
    </row>
    <row r="685" ht="15" customHeight="1">
      <c r="A685" s="27"/>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9"/>
    </row>
    <row r="686" ht="15" customHeight="1">
      <c r="A686" s="27"/>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9"/>
    </row>
    <row r="687" ht="15" customHeight="1">
      <c r="A687" s="27"/>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9"/>
    </row>
    <row r="688" ht="15" customHeight="1">
      <c r="A688" s="27"/>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9"/>
    </row>
    <row r="689" ht="15" customHeight="1">
      <c r="A689" s="27"/>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9"/>
    </row>
    <row r="690" ht="15" customHeight="1">
      <c r="A690" s="27"/>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9"/>
    </row>
    <row r="691" ht="15" customHeight="1">
      <c r="A691" s="27"/>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9"/>
    </row>
    <row r="692" ht="15" customHeight="1">
      <c r="A692" s="27"/>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9"/>
    </row>
    <row r="693" ht="15" customHeight="1">
      <c r="A693" s="27"/>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9"/>
    </row>
    <row r="694" ht="15" customHeight="1">
      <c r="A694" s="27"/>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9"/>
    </row>
    <row r="695" ht="15" customHeight="1">
      <c r="A695" s="27"/>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9"/>
    </row>
    <row r="696" ht="15" customHeight="1">
      <c r="A696" s="27"/>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9"/>
    </row>
    <row r="697" ht="15" customHeight="1">
      <c r="A697" s="27"/>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9"/>
    </row>
    <row r="698" ht="15" customHeight="1">
      <c r="A698" s="27"/>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9"/>
    </row>
    <row r="699" ht="15" customHeight="1">
      <c r="A699" s="27"/>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9"/>
    </row>
    <row r="700" ht="15" customHeight="1">
      <c r="A700" s="27"/>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9"/>
    </row>
    <row r="701" ht="15" customHeight="1">
      <c r="A701" s="27"/>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9"/>
    </row>
    <row r="702" ht="15" customHeight="1">
      <c r="A702" s="27"/>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9"/>
    </row>
    <row r="703" ht="15" customHeight="1">
      <c r="A703" s="27"/>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9"/>
    </row>
    <row r="704" ht="15" customHeight="1">
      <c r="A704" s="27"/>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9"/>
    </row>
    <row r="705" ht="15" customHeight="1">
      <c r="A705" s="27"/>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9"/>
    </row>
    <row r="706" ht="15" customHeight="1">
      <c r="A706" s="27"/>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9"/>
    </row>
    <row r="707" ht="15" customHeight="1">
      <c r="A707" s="27"/>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9"/>
    </row>
    <row r="708" ht="15" customHeight="1">
      <c r="A708" s="27"/>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9"/>
    </row>
    <row r="709" ht="15" customHeight="1">
      <c r="A709" s="27"/>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9"/>
    </row>
    <row r="710" ht="15" customHeight="1">
      <c r="A710" s="27"/>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9"/>
    </row>
    <row r="711" ht="15" customHeight="1">
      <c r="A711" s="27"/>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9"/>
    </row>
    <row r="712" ht="15" customHeight="1">
      <c r="A712" s="27"/>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9"/>
    </row>
    <row r="713" ht="15" customHeight="1">
      <c r="A713" s="27"/>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9"/>
    </row>
    <row r="714" ht="15" customHeight="1">
      <c r="A714" s="27"/>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9"/>
    </row>
    <row r="715" ht="15" customHeight="1">
      <c r="A715" s="27"/>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9"/>
    </row>
    <row r="716" ht="15" customHeight="1">
      <c r="A716" s="27"/>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9"/>
    </row>
    <row r="717" ht="15" customHeight="1">
      <c r="A717" s="27"/>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9"/>
    </row>
    <row r="718" ht="15" customHeight="1">
      <c r="A718" s="27"/>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9"/>
    </row>
    <row r="719" ht="15" customHeight="1">
      <c r="A719" s="27"/>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9"/>
    </row>
    <row r="720" ht="15" customHeight="1">
      <c r="A720" s="27"/>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9"/>
    </row>
    <row r="721" ht="15" customHeight="1">
      <c r="A721" s="27"/>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9"/>
    </row>
    <row r="722" ht="15" customHeight="1">
      <c r="A722" s="27"/>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9"/>
    </row>
    <row r="723" ht="15" customHeight="1">
      <c r="A723" s="27"/>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9"/>
    </row>
    <row r="724" ht="15" customHeight="1">
      <c r="A724" s="27"/>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9"/>
    </row>
    <row r="725" ht="15" customHeight="1">
      <c r="A725" s="27"/>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9"/>
    </row>
    <row r="726" ht="15" customHeight="1">
      <c r="A726" s="27"/>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9"/>
    </row>
    <row r="727" ht="15" customHeight="1">
      <c r="A727" s="27"/>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9"/>
    </row>
    <row r="728" ht="15" customHeight="1">
      <c r="A728" s="27"/>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9"/>
    </row>
    <row r="729" ht="15" customHeight="1">
      <c r="A729" s="27"/>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9"/>
    </row>
    <row r="730" ht="15" customHeight="1">
      <c r="A730" s="27"/>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9"/>
    </row>
    <row r="731" ht="15" customHeight="1">
      <c r="A731" s="27"/>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9"/>
    </row>
    <row r="732" ht="15" customHeight="1">
      <c r="A732" s="27"/>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9"/>
    </row>
    <row r="733" ht="15" customHeight="1">
      <c r="A733" s="27"/>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9"/>
    </row>
    <row r="734" ht="15" customHeight="1">
      <c r="A734" s="27"/>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9"/>
    </row>
    <row r="735" ht="15" customHeight="1">
      <c r="A735" s="27"/>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9"/>
    </row>
    <row r="736" ht="15" customHeight="1">
      <c r="A736" s="27"/>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9"/>
    </row>
    <row r="737" ht="15" customHeight="1">
      <c r="A737" s="27"/>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9"/>
    </row>
    <row r="738" ht="15" customHeight="1">
      <c r="A738" s="27"/>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9"/>
    </row>
    <row r="739" ht="15" customHeight="1">
      <c r="A739" s="27"/>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9"/>
    </row>
    <row r="740" ht="15" customHeight="1">
      <c r="A740" s="27"/>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9"/>
    </row>
    <row r="741" ht="15" customHeight="1">
      <c r="A741" s="27"/>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9"/>
    </row>
    <row r="742" ht="15" customHeight="1">
      <c r="A742" s="27"/>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9"/>
    </row>
    <row r="743" ht="15" customHeight="1">
      <c r="A743" s="27"/>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9"/>
    </row>
    <row r="744" ht="15" customHeight="1">
      <c r="A744" s="27"/>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9"/>
    </row>
    <row r="745" ht="15" customHeight="1">
      <c r="A745" s="27"/>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9"/>
    </row>
    <row r="746" ht="15" customHeight="1">
      <c r="A746" s="27"/>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9"/>
    </row>
    <row r="747" ht="15" customHeight="1">
      <c r="A747" s="27"/>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9"/>
    </row>
    <row r="748" ht="15" customHeight="1">
      <c r="A748" s="27"/>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9"/>
    </row>
    <row r="749" ht="15" customHeight="1">
      <c r="A749" s="27"/>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9"/>
    </row>
    <row r="750" ht="15" customHeight="1">
      <c r="A750" s="27"/>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9"/>
    </row>
    <row r="751" ht="15" customHeight="1">
      <c r="A751" s="27"/>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9"/>
    </row>
    <row r="752" ht="15" customHeight="1">
      <c r="A752" s="27"/>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9"/>
    </row>
    <row r="753" ht="15" customHeight="1">
      <c r="A753" s="27"/>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9"/>
    </row>
    <row r="754" ht="15" customHeight="1">
      <c r="A754" s="27"/>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9"/>
    </row>
    <row r="755" ht="15" customHeight="1">
      <c r="A755" s="27"/>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9"/>
    </row>
    <row r="756" ht="15" customHeight="1">
      <c r="A756" s="27"/>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9"/>
    </row>
    <row r="757" ht="15" customHeight="1">
      <c r="A757" s="27"/>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9"/>
    </row>
    <row r="758" ht="15" customHeight="1">
      <c r="A758" s="27"/>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9"/>
    </row>
    <row r="759" ht="15" customHeight="1">
      <c r="A759" s="27"/>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9"/>
    </row>
    <row r="760" ht="15" customHeight="1">
      <c r="A760" s="27"/>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9"/>
    </row>
    <row r="761" ht="15" customHeight="1">
      <c r="A761" s="27"/>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9"/>
    </row>
    <row r="762" ht="15" customHeight="1">
      <c r="A762" s="27"/>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9"/>
    </row>
    <row r="763" ht="15" customHeight="1">
      <c r="A763" s="27"/>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9"/>
    </row>
    <row r="764" ht="15" customHeight="1">
      <c r="A764" s="27"/>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9"/>
    </row>
    <row r="765" ht="15" customHeight="1">
      <c r="A765" s="27"/>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9"/>
    </row>
    <row r="766" ht="15" customHeight="1">
      <c r="A766" s="27"/>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9"/>
    </row>
    <row r="767" ht="15" customHeight="1">
      <c r="A767" s="27"/>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9"/>
    </row>
    <row r="768" ht="15" customHeight="1">
      <c r="A768" s="27"/>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9"/>
    </row>
    <row r="769" ht="15" customHeight="1">
      <c r="A769" s="27"/>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9"/>
    </row>
    <row r="770" ht="15" customHeight="1">
      <c r="A770" s="27"/>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9"/>
    </row>
    <row r="771" ht="15" customHeight="1">
      <c r="A771" s="27"/>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9"/>
    </row>
    <row r="772" ht="15" customHeight="1">
      <c r="A772" s="27"/>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9"/>
    </row>
    <row r="773" ht="15" customHeight="1">
      <c r="A773" s="27"/>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9"/>
    </row>
    <row r="774" ht="15" customHeight="1">
      <c r="A774" s="27"/>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9"/>
    </row>
    <row r="775" ht="15" customHeight="1">
      <c r="A775" s="27"/>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9"/>
    </row>
    <row r="776" ht="15" customHeight="1">
      <c r="A776" s="27"/>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9"/>
    </row>
    <row r="777" ht="15" customHeight="1">
      <c r="A777" s="27"/>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9"/>
    </row>
    <row r="778" ht="15" customHeight="1">
      <c r="A778" s="27"/>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9"/>
    </row>
    <row r="779" ht="15" customHeight="1">
      <c r="A779" s="27"/>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9"/>
    </row>
    <row r="780" ht="15" customHeight="1">
      <c r="A780" s="27"/>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9"/>
    </row>
    <row r="781" ht="15" customHeight="1">
      <c r="A781" s="27"/>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9"/>
    </row>
    <row r="782" ht="15" customHeight="1">
      <c r="A782" s="27"/>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9"/>
    </row>
    <row r="783" ht="15" customHeight="1">
      <c r="A783" s="27"/>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9"/>
    </row>
    <row r="784" ht="15" customHeight="1">
      <c r="A784" s="27"/>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9"/>
    </row>
    <row r="785" ht="15" customHeight="1">
      <c r="A785" s="27"/>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9"/>
    </row>
    <row r="786" ht="15" customHeight="1">
      <c r="A786" s="27"/>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9"/>
    </row>
    <row r="787" ht="15" customHeight="1">
      <c r="A787" s="27"/>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9"/>
    </row>
    <row r="788" ht="15" customHeight="1">
      <c r="A788" s="27"/>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9"/>
    </row>
    <row r="789" ht="15" customHeight="1">
      <c r="A789" s="27"/>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9"/>
    </row>
    <row r="790" ht="15" customHeight="1">
      <c r="A790" s="27"/>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9"/>
    </row>
    <row r="791" ht="15" customHeight="1">
      <c r="A791" s="27"/>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9"/>
    </row>
    <row r="792" ht="15" customHeight="1">
      <c r="A792" s="27"/>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9"/>
    </row>
    <row r="793" ht="15" customHeight="1">
      <c r="A793" s="27"/>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9"/>
    </row>
    <row r="794" ht="15" customHeight="1">
      <c r="A794" s="27"/>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9"/>
    </row>
    <row r="795" ht="15" customHeight="1">
      <c r="A795" s="27"/>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9"/>
    </row>
    <row r="796" ht="15" customHeight="1">
      <c r="A796" s="27"/>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9"/>
    </row>
    <row r="797" ht="15" customHeight="1">
      <c r="A797" s="27"/>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9"/>
    </row>
    <row r="798" ht="15" customHeight="1">
      <c r="A798" s="27"/>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9"/>
    </row>
    <row r="799" ht="15" customHeight="1">
      <c r="A799" s="27"/>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9"/>
    </row>
    <row r="800" ht="15" customHeight="1">
      <c r="A800" s="27"/>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9"/>
    </row>
    <row r="801" ht="15" customHeight="1">
      <c r="A801" s="27"/>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9"/>
    </row>
    <row r="802" ht="15" customHeight="1">
      <c r="A802" s="27"/>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9"/>
    </row>
    <row r="803" ht="15" customHeight="1">
      <c r="A803" s="27"/>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9"/>
    </row>
    <row r="804" ht="15" customHeight="1">
      <c r="A804" s="27"/>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9"/>
    </row>
    <row r="805" ht="15" customHeight="1">
      <c r="A805" s="27"/>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9"/>
    </row>
    <row r="806" ht="15" customHeight="1">
      <c r="A806" s="27"/>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9"/>
    </row>
    <row r="807" ht="15" customHeight="1">
      <c r="A807" s="27"/>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9"/>
    </row>
    <row r="808" ht="15" customHeight="1">
      <c r="A808" s="27"/>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9"/>
    </row>
    <row r="809" ht="15" customHeight="1">
      <c r="A809" s="27"/>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9"/>
    </row>
    <row r="810" ht="15" customHeight="1">
      <c r="A810" s="27"/>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9"/>
    </row>
    <row r="811" ht="15" customHeight="1">
      <c r="A811" s="27"/>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9"/>
    </row>
    <row r="812" ht="15" customHeight="1">
      <c r="A812" s="27"/>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9"/>
    </row>
    <row r="813" ht="15" customHeight="1">
      <c r="A813" s="27"/>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9"/>
    </row>
    <row r="814" ht="15" customHeight="1">
      <c r="A814" s="27"/>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9"/>
    </row>
    <row r="815" ht="15" customHeight="1">
      <c r="A815" s="27"/>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9"/>
    </row>
    <row r="816" ht="15" customHeight="1">
      <c r="A816" s="27"/>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9"/>
    </row>
    <row r="817" ht="15" customHeight="1">
      <c r="A817" s="27"/>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9"/>
    </row>
    <row r="818" ht="15" customHeight="1">
      <c r="A818" s="27"/>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9"/>
    </row>
    <row r="819" ht="15" customHeight="1">
      <c r="A819" s="27"/>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9"/>
    </row>
    <row r="820" ht="15" customHeight="1">
      <c r="A820" s="27"/>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9"/>
    </row>
    <row r="821" ht="15" customHeight="1">
      <c r="A821" s="27"/>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9"/>
    </row>
    <row r="822" ht="15" customHeight="1">
      <c r="A822" s="27"/>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9"/>
    </row>
    <row r="823" ht="15" customHeight="1">
      <c r="A823" s="27"/>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9"/>
    </row>
    <row r="824" ht="15" customHeight="1">
      <c r="A824" s="27"/>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9"/>
    </row>
    <row r="825" ht="15" customHeight="1">
      <c r="A825" s="27"/>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9"/>
    </row>
    <row r="826" ht="15" customHeight="1">
      <c r="A826" s="27"/>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9"/>
    </row>
    <row r="827" ht="15" customHeight="1">
      <c r="A827" s="27"/>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9"/>
    </row>
    <row r="828" ht="15" customHeight="1">
      <c r="A828" s="27"/>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9"/>
    </row>
    <row r="829" ht="15" customHeight="1">
      <c r="A829" s="27"/>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9"/>
    </row>
    <row r="830" ht="15" customHeight="1">
      <c r="A830" s="27"/>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9"/>
    </row>
    <row r="831" ht="15" customHeight="1">
      <c r="A831" s="27"/>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9"/>
    </row>
    <row r="832" ht="15" customHeight="1">
      <c r="A832" s="27"/>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9"/>
    </row>
    <row r="833" ht="15" customHeight="1">
      <c r="A833" s="27"/>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9"/>
    </row>
    <row r="834" ht="15" customHeight="1">
      <c r="A834" s="27"/>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9"/>
    </row>
    <row r="835" ht="15" customHeight="1">
      <c r="A835" s="27"/>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9"/>
    </row>
    <row r="836" ht="15" customHeight="1">
      <c r="A836" s="27"/>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9"/>
    </row>
    <row r="837" ht="15" customHeight="1">
      <c r="A837" s="27"/>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9"/>
    </row>
    <row r="838" ht="15" customHeight="1">
      <c r="A838" s="27"/>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9"/>
    </row>
    <row r="839" ht="15" customHeight="1">
      <c r="A839" s="27"/>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9"/>
    </row>
    <row r="840" ht="15" customHeight="1">
      <c r="A840" s="27"/>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9"/>
    </row>
    <row r="841" ht="15" customHeight="1">
      <c r="A841" s="27"/>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9"/>
    </row>
    <row r="842" ht="15" customHeight="1">
      <c r="A842" s="27"/>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9"/>
    </row>
    <row r="843" ht="15" customHeight="1">
      <c r="A843" s="27"/>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9"/>
    </row>
    <row r="844" ht="15" customHeight="1">
      <c r="A844" s="27"/>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9"/>
    </row>
    <row r="845" ht="15" customHeight="1">
      <c r="A845" s="27"/>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9"/>
    </row>
    <row r="846" ht="15" customHeight="1">
      <c r="A846" s="27"/>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9"/>
    </row>
    <row r="847" ht="15" customHeight="1">
      <c r="A847" s="27"/>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9"/>
    </row>
    <row r="848" ht="15" customHeight="1">
      <c r="A848" s="27"/>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9"/>
    </row>
    <row r="849" ht="15" customHeight="1">
      <c r="A849" s="27"/>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9"/>
    </row>
    <row r="850" ht="15" customHeight="1">
      <c r="A850" s="27"/>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9"/>
    </row>
    <row r="851" ht="15" customHeight="1">
      <c r="A851" s="27"/>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9"/>
    </row>
    <row r="852" ht="15" customHeight="1">
      <c r="A852" s="27"/>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9"/>
    </row>
    <row r="853" ht="15" customHeight="1">
      <c r="A853" s="27"/>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9"/>
    </row>
    <row r="854" ht="15" customHeight="1">
      <c r="A854" s="27"/>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9"/>
    </row>
    <row r="855" ht="15" customHeight="1">
      <c r="A855" s="27"/>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9"/>
    </row>
    <row r="856" ht="15" customHeight="1">
      <c r="A856" s="27"/>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9"/>
    </row>
    <row r="857" ht="15" customHeight="1">
      <c r="A857" s="27"/>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9"/>
    </row>
    <row r="858" ht="15" customHeight="1">
      <c r="A858" s="27"/>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9"/>
    </row>
    <row r="859" ht="15" customHeight="1">
      <c r="A859" s="27"/>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9"/>
    </row>
    <row r="860" ht="15" customHeight="1">
      <c r="A860" s="27"/>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9"/>
    </row>
    <row r="861" ht="15" customHeight="1">
      <c r="A861" s="27"/>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9"/>
    </row>
    <row r="862" ht="15" customHeight="1">
      <c r="A862" s="27"/>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9"/>
    </row>
    <row r="863" ht="15" customHeight="1">
      <c r="A863" s="27"/>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9"/>
    </row>
    <row r="864" ht="15" customHeight="1">
      <c r="A864" s="27"/>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9"/>
    </row>
    <row r="865" ht="15" customHeight="1">
      <c r="A865" s="27"/>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9"/>
    </row>
    <row r="866" ht="15" customHeight="1">
      <c r="A866" s="27"/>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9"/>
    </row>
    <row r="867" ht="15" customHeight="1">
      <c r="A867" s="27"/>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9"/>
    </row>
    <row r="868" ht="15" customHeight="1">
      <c r="A868" s="27"/>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9"/>
    </row>
    <row r="869" ht="15" customHeight="1">
      <c r="A869" s="27"/>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9"/>
    </row>
    <row r="870" ht="15" customHeight="1">
      <c r="A870" s="27"/>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9"/>
    </row>
    <row r="871" ht="15" customHeight="1">
      <c r="A871" s="27"/>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9"/>
    </row>
    <row r="872" ht="15" customHeight="1">
      <c r="A872" s="27"/>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9"/>
    </row>
    <row r="873" ht="15" customHeight="1">
      <c r="A873" s="27"/>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9"/>
    </row>
    <row r="874" ht="15" customHeight="1">
      <c r="A874" s="27"/>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9"/>
    </row>
    <row r="875" ht="15" customHeight="1">
      <c r="A875" s="27"/>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9"/>
    </row>
    <row r="876" ht="15" customHeight="1">
      <c r="A876" s="27"/>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9"/>
    </row>
    <row r="877" ht="15" customHeight="1">
      <c r="A877" s="27"/>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9"/>
    </row>
    <row r="878" ht="15" customHeight="1">
      <c r="A878" s="27"/>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9"/>
    </row>
    <row r="879" ht="15" customHeight="1">
      <c r="A879" s="27"/>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9"/>
    </row>
    <row r="880" ht="15" customHeight="1">
      <c r="A880" s="27"/>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9"/>
    </row>
    <row r="881" ht="15" customHeight="1">
      <c r="A881" s="27"/>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9"/>
    </row>
    <row r="882" ht="15" customHeight="1">
      <c r="A882" s="27"/>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9"/>
    </row>
    <row r="883" ht="15" customHeight="1">
      <c r="A883" s="27"/>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9"/>
    </row>
    <row r="884" ht="15" customHeight="1">
      <c r="A884" s="27"/>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9"/>
    </row>
    <row r="885" ht="15" customHeight="1">
      <c r="A885" s="27"/>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9"/>
    </row>
    <row r="886" ht="15" customHeight="1">
      <c r="A886" s="27"/>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9"/>
    </row>
    <row r="887" ht="15" customHeight="1">
      <c r="A887" s="27"/>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9"/>
    </row>
    <row r="888" ht="15" customHeight="1">
      <c r="A888" s="27"/>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9"/>
    </row>
    <row r="889" ht="15" customHeight="1">
      <c r="A889" s="27"/>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9"/>
    </row>
    <row r="890" ht="15" customHeight="1">
      <c r="A890" s="27"/>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9"/>
    </row>
    <row r="891" ht="15" customHeight="1">
      <c r="A891" s="27"/>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9"/>
    </row>
    <row r="892" ht="15" customHeight="1">
      <c r="A892" s="27"/>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9"/>
    </row>
    <row r="893" ht="15" customHeight="1">
      <c r="A893" s="27"/>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9"/>
    </row>
    <row r="894" ht="15" customHeight="1">
      <c r="A894" s="27"/>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9"/>
    </row>
    <row r="895" ht="15" customHeight="1">
      <c r="A895" s="27"/>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9"/>
    </row>
    <row r="896" ht="15" customHeight="1">
      <c r="A896" s="27"/>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9"/>
    </row>
    <row r="897" ht="15" customHeight="1">
      <c r="A897" s="27"/>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9"/>
    </row>
    <row r="898" ht="15" customHeight="1">
      <c r="A898" s="27"/>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9"/>
    </row>
    <row r="899" ht="15" customHeight="1">
      <c r="A899" s="27"/>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9"/>
    </row>
    <row r="900" ht="15" customHeight="1">
      <c r="A900" s="27"/>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9"/>
    </row>
    <row r="901" ht="15" customHeight="1">
      <c r="A901" s="27"/>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9"/>
    </row>
    <row r="902" ht="15" customHeight="1">
      <c r="A902" s="27"/>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9"/>
    </row>
    <row r="903" ht="15" customHeight="1">
      <c r="A903" s="27"/>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9"/>
    </row>
    <row r="904" ht="15" customHeight="1">
      <c r="A904" s="27"/>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9"/>
    </row>
    <row r="905" ht="15" customHeight="1">
      <c r="A905" s="27"/>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9"/>
    </row>
    <row r="906" ht="15" customHeight="1">
      <c r="A906" s="27"/>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9"/>
    </row>
    <row r="907" ht="15" customHeight="1">
      <c r="A907" s="27"/>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9"/>
    </row>
    <row r="908" ht="15" customHeight="1">
      <c r="A908" s="27"/>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9"/>
    </row>
    <row r="909" ht="15" customHeight="1">
      <c r="A909" s="27"/>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9"/>
    </row>
    <row r="910" ht="15" customHeight="1">
      <c r="A910" s="27"/>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9"/>
    </row>
    <row r="911" ht="15" customHeight="1">
      <c r="A911" s="27"/>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9"/>
    </row>
    <row r="912" ht="15" customHeight="1">
      <c r="A912" s="27"/>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9"/>
    </row>
    <row r="913" ht="15" customHeight="1">
      <c r="A913" s="27"/>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9"/>
    </row>
    <row r="914" ht="15" customHeight="1">
      <c r="A914" s="27"/>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9"/>
    </row>
    <row r="915" ht="15" customHeight="1">
      <c r="A915" s="27"/>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9"/>
    </row>
    <row r="916" ht="15" customHeight="1">
      <c r="A916" s="27"/>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9"/>
    </row>
    <row r="917" ht="15" customHeight="1">
      <c r="A917" s="27"/>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9"/>
    </row>
    <row r="918" ht="15" customHeight="1">
      <c r="A918" s="27"/>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9"/>
    </row>
    <row r="919" ht="15" customHeight="1">
      <c r="A919" s="27"/>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9"/>
    </row>
    <row r="920" ht="15" customHeight="1">
      <c r="A920" s="27"/>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9"/>
    </row>
    <row r="921" ht="15" customHeight="1">
      <c r="A921" s="27"/>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9"/>
    </row>
    <row r="922" ht="15" customHeight="1">
      <c r="A922" s="27"/>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9"/>
    </row>
    <row r="923" ht="15" customHeight="1">
      <c r="A923" s="27"/>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9"/>
    </row>
    <row r="924" ht="15" customHeight="1">
      <c r="A924" s="27"/>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9"/>
    </row>
    <row r="925" ht="15" customHeight="1">
      <c r="A925" s="27"/>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9"/>
    </row>
    <row r="926" ht="15" customHeight="1">
      <c r="A926" s="27"/>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9"/>
    </row>
    <row r="927" ht="15" customHeight="1">
      <c r="A927" s="27"/>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9"/>
    </row>
    <row r="928" ht="15" customHeight="1">
      <c r="A928" s="27"/>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9"/>
    </row>
    <row r="929" ht="15" customHeight="1">
      <c r="A929" s="27"/>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9"/>
    </row>
    <row r="930" ht="15" customHeight="1">
      <c r="A930" s="27"/>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9"/>
    </row>
    <row r="931" ht="15" customHeight="1">
      <c r="A931" s="27"/>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9"/>
    </row>
    <row r="932" ht="15" customHeight="1">
      <c r="A932" s="27"/>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9"/>
    </row>
    <row r="933" ht="15" customHeight="1">
      <c r="A933" s="27"/>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9"/>
    </row>
    <row r="934" ht="15" customHeight="1">
      <c r="A934" s="27"/>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9"/>
    </row>
    <row r="935" ht="15" customHeight="1">
      <c r="A935" s="27"/>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9"/>
    </row>
    <row r="936" ht="15" customHeight="1">
      <c r="A936" s="27"/>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9"/>
    </row>
    <row r="937" ht="15" customHeight="1">
      <c r="A937" s="27"/>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9"/>
    </row>
    <row r="938" ht="15" customHeight="1">
      <c r="A938" s="27"/>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9"/>
    </row>
    <row r="939" ht="15" customHeight="1">
      <c r="A939" s="27"/>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9"/>
    </row>
    <row r="940" ht="15" customHeight="1">
      <c r="A940" s="27"/>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9"/>
    </row>
    <row r="941" ht="15" customHeight="1">
      <c r="A941" s="27"/>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9"/>
    </row>
    <row r="942" ht="15" customHeight="1">
      <c r="A942" s="27"/>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9"/>
    </row>
    <row r="943" ht="15" customHeight="1">
      <c r="A943" s="27"/>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9"/>
    </row>
    <row r="944" ht="15" customHeight="1">
      <c r="A944" s="27"/>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9"/>
    </row>
    <row r="945" ht="15" customHeight="1">
      <c r="A945" s="27"/>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9"/>
    </row>
    <row r="946" ht="15" customHeight="1">
      <c r="A946" s="27"/>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9"/>
    </row>
    <row r="947" ht="15" customHeight="1">
      <c r="A947" s="27"/>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9"/>
    </row>
    <row r="948" ht="15" customHeight="1">
      <c r="A948" s="27"/>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9"/>
    </row>
    <row r="949" ht="15" customHeight="1">
      <c r="A949" s="27"/>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9"/>
    </row>
    <row r="950" ht="15" customHeight="1">
      <c r="A950" s="27"/>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9"/>
    </row>
    <row r="951" ht="15" customHeight="1">
      <c r="A951" s="27"/>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9"/>
    </row>
    <row r="952" ht="15" customHeight="1">
      <c r="A952" s="27"/>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9"/>
    </row>
    <row r="953" ht="15" customHeight="1">
      <c r="A953" s="27"/>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9"/>
    </row>
    <row r="954" ht="15" customHeight="1">
      <c r="A954" s="27"/>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9"/>
    </row>
    <row r="955" ht="15" customHeight="1">
      <c r="A955" s="27"/>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9"/>
    </row>
    <row r="956" ht="15" customHeight="1">
      <c r="A956" s="27"/>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9"/>
    </row>
    <row r="957" ht="15" customHeight="1">
      <c r="A957" s="27"/>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9"/>
    </row>
    <row r="958" ht="15" customHeight="1">
      <c r="A958" s="27"/>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9"/>
    </row>
    <row r="959" ht="15" customHeight="1">
      <c r="A959" s="27"/>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9"/>
    </row>
    <row r="960" ht="15" customHeight="1">
      <c r="A960" s="27"/>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9"/>
    </row>
    <row r="961" ht="15" customHeight="1">
      <c r="A961" s="27"/>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9"/>
    </row>
    <row r="962" ht="15" customHeight="1">
      <c r="A962" s="27"/>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9"/>
    </row>
    <row r="963" ht="15" customHeight="1">
      <c r="A963" s="27"/>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9"/>
    </row>
    <row r="964" ht="15" customHeight="1">
      <c r="A964" s="27"/>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9"/>
    </row>
    <row r="965" ht="15" customHeight="1">
      <c r="A965" s="27"/>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9"/>
    </row>
    <row r="966" ht="15" customHeight="1">
      <c r="A966" s="27"/>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9"/>
    </row>
    <row r="967" ht="15" customHeight="1">
      <c r="A967" s="27"/>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9"/>
    </row>
    <row r="968" ht="15" customHeight="1">
      <c r="A968" s="27"/>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9"/>
    </row>
    <row r="969" ht="15" customHeight="1">
      <c r="A969" s="27"/>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9"/>
    </row>
    <row r="970" ht="15" customHeight="1">
      <c r="A970" s="27"/>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9"/>
    </row>
    <row r="971" ht="15" customHeight="1">
      <c r="A971" s="27"/>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9"/>
    </row>
    <row r="972" ht="15" customHeight="1">
      <c r="A972" s="27"/>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9"/>
    </row>
    <row r="973" ht="15" customHeight="1">
      <c r="A973" s="27"/>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9"/>
    </row>
    <row r="974" ht="15" customHeight="1">
      <c r="A974" s="27"/>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9"/>
    </row>
    <row r="975" ht="15" customHeight="1">
      <c r="A975" s="27"/>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9"/>
    </row>
    <row r="976" ht="15" customHeight="1">
      <c r="A976" s="27"/>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9"/>
    </row>
    <row r="977" ht="15" customHeight="1">
      <c r="A977" s="27"/>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9"/>
    </row>
    <row r="978" ht="15" customHeight="1">
      <c r="A978" s="27"/>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9"/>
    </row>
    <row r="979" ht="15" customHeight="1">
      <c r="A979" s="27"/>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9"/>
    </row>
    <row r="980" ht="15" customHeight="1">
      <c r="A980" s="27"/>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9"/>
    </row>
    <row r="981" ht="15" customHeight="1">
      <c r="A981" s="27"/>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9"/>
    </row>
    <row r="982" ht="15" customHeight="1">
      <c r="A982" s="27"/>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9"/>
    </row>
    <row r="983" ht="15" customHeight="1">
      <c r="A983" s="27"/>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9"/>
    </row>
    <row r="984" ht="15" customHeight="1">
      <c r="A984" s="27"/>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9"/>
    </row>
    <row r="985" ht="15" customHeight="1">
      <c r="A985" s="27"/>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9"/>
    </row>
    <row r="986" ht="15" customHeight="1">
      <c r="A986" s="27"/>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9"/>
    </row>
    <row r="987" ht="15" customHeight="1">
      <c r="A987" s="27"/>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9"/>
    </row>
    <row r="988" ht="15" customHeight="1">
      <c r="A988" s="27"/>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9"/>
    </row>
    <row r="989" ht="15" customHeight="1">
      <c r="A989" s="27"/>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9"/>
    </row>
    <row r="990" ht="15" customHeight="1">
      <c r="A990" s="27"/>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9"/>
    </row>
    <row r="991" ht="15" customHeight="1">
      <c r="A991" s="27"/>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9"/>
    </row>
    <row r="992" ht="15" customHeight="1">
      <c r="A992" s="27"/>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9"/>
    </row>
    <row r="993" ht="15" customHeight="1">
      <c r="A993" s="27"/>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9"/>
    </row>
    <row r="994" ht="15" customHeight="1">
      <c r="A994" s="27"/>
      <c r="B994" s="18"/>
      <c r="C994" s="18"/>
      <c r="D994" s="18"/>
      <c r="E994" s="18"/>
      <c r="F994" s="18"/>
      <c r="G994" s="18"/>
      <c r="H994" s="18"/>
      <c r="I994" s="18"/>
      <c r="J994" s="18"/>
      <c r="K994" s="18"/>
      <c r="L994" s="18"/>
      <c r="M994" s="18"/>
      <c r="N994" s="18"/>
      <c r="O994" s="18"/>
      <c r="P994" s="18"/>
      <c r="Q994" s="31"/>
      <c r="R994" s="18"/>
      <c r="S994" s="18"/>
      <c r="T994" s="18"/>
      <c r="U994" s="18"/>
      <c r="V994" s="18"/>
      <c r="W994" s="18"/>
      <c r="X994" s="18"/>
      <c r="Y994" s="19"/>
    </row>
    <row r="995" ht="15" customHeight="1">
      <c r="A995" s="27"/>
      <c r="B995" s="18"/>
      <c r="C995" s="18"/>
      <c r="D995" s="18"/>
      <c r="E995" s="18"/>
      <c r="F995" s="18"/>
      <c r="G995" s="18"/>
      <c r="H995" s="18"/>
      <c r="I995" s="18"/>
      <c r="J995" s="18"/>
      <c r="K995" s="18"/>
      <c r="L995" s="18"/>
      <c r="M995" s="18"/>
      <c r="N995" s="18"/>
      <c r="O995" s="18"/>
      <c r="P995" s="18"/>
      <c r="Q995" s="31"/>
      <c r="R995" s="18"/>
      <c r="S995" s="18"/>
      <c r="T995" s="18"/>
      <c r="U995" s="18"/>
      <c r="V995" s="18"/>
      <c r="W995" s="18"/>
      <c r="X995" s="18"/>
      <c r="Y995" s="19"/>
    </row>
    <row r="996" ht="15" customHeight="1">
      <c r="A996" s="27"/>
      <c r="B996" s="18"/>
      <c r="C996" s="18"/>
      <c r="D996" s="18"/>
      <c r="E996" s="18"/>
      <c r="F996" s="18"/>
      <c r="G996" s="18"/>
      <c r="H996" s="18"/>
      <c r="I996" s="18"/>
      <c r="J996" s="18"/>
      <c r="K996" s="18"/>
      <c r="L996" s="18"/>
      <c r="M996" s="18"/>
      <c r="N996" s="18"/>
      <c r="O996" s="18"/>
      <c r="P996" s="18"/>
      <c r="Q996" s="31"/>
      <c r="R996" s="18"/>
      <c r="S996" s="18"/>
      <c r="T996" s="18"/>
      <c r="U996" s="18"/>
      <c r="V996" s="18"/>
      <c r="W996" s="18"/>
      <c r="X996" s="18"/>
      <c r="Y996" s="19"/>
    </row>
    <row r="997" ht="15" customHeight="1">
      <c r="A997" s="27"/>
      <c r="B997" s="18"/>
      <c r="C997" s="18"/>
      <c r="D997" s="18"/>
      <c r="E997" s="18"/>
      <c r="F997" s="18"/>
      <c r="G997" s="18"/>
      <c r="H997" s="18"/>
      <c r="I997" s="18"/>
      <c r="J997" s="18"/>
      <c r="K997" s="18"/>
      <c r="L997" s="18"/>
      <c r="M997" s="18"/>
      <c r="N997" s="18"/>
      <c r="O997" s="18"/>
      <c r="P997" s="18"/>
      <c r="Q997" s="31"/>
      <c r="R997" s="18"/>
      <c r="S997" s="18"/>
      <c r="T997" s="18"/>
      <c r="U997" s="18"/>
      <c r="V997" s="18"/>
      <c r="W997" s="18"/>
      <c r="X997" s="18"/>
      <c r="Y997" s="19"/>
    </row>
    <row r="998" ht="15" customHeight="1">
      <c r="A998" s="27"/>
      <c r="B998" s="18"/>
      <c r="C998" s="18"/>
      <c r="D998" s="18"/>
      <c r="E998" s="18"/>
      <c r="F998" s="18"/>
      <c r="G998" s="18"/>
      <c r="H998" s="18"/>
      <c r="I998" s="18"/>
      <c r="J998" s="18"/>
      <c r="K998" s="18"/>
      <c r="L998" s="18"/>
      <c r="M998" s="18"/>
      <c r="N998" s="18"/>
      <c r="O998" s="18"/>
      <c r="P998" s="18"/>
      <c r="Q998" s="31"/>
      <c r="R998" s="18"/>
      <c r="S998" s="18"/>
      <c r="T998" s="18"/>
      <c r="U998" s="18"/>
      <c r="V998" s="18"/>
      <c r="W998" s="18"/>
      <c r="X998" s="18"/>
      <c r="Y998" s="19"/>
    </row>
    <row r="999" ht="15" customHeight="1">
      <c r="A999" s="27"/>
      <c r="B999" s="18"/>
      <c r="C999" s="18"/>
      <c r="D999" s="18"/>
      <c r="E999" s="18"/>
      <c r="F999" s="18"/>
      <c r="G999" s="18"/>
      <c r="H999" s="18"/>
      <c r="I999" s="18"/>
      <c r="J999" s="18"/>
      <c r="K999" s="18"/>
      <c r="L999" s="18"/>
      <c r="M999" s="18"/>
      <c r="N999" s="18"/>
      <c r="O999" s="18"/>
      <c r="P999" s="18"/>
      <c r="Q999" s="31"/>
      <c r="R999" s="18"/>
      <c r="S999" s="18"/>
      <c r="T999" s="18"/>
      <c r="U999" s="18"/>
      <c r="V999" s="18"/>
      <c r="W999" s="18"/>
      <c r="X999" s="18"/>
      <c r="Y999" s="19"/>
    </row>
    <row r="1000" ht="15" customHeight="1">
      <c r="A1000" s="27"/>
      <c r="B1000" s="18"/>
      <c r="C1000" s="18"/>
      <c r="D1000" s="18"/>
      <c r="E1000" s="18"/>
      <c r="F1000" s="18"/>
      <c r="G1000" s="18"/>
      <c r="H1000" s="18"/>
      <c r="I1000" s="18"/>
      <c r="J1000" s="18"/>
      <c r="K1000" s="18"/>
      <c r="L1000" s="18"/>
      <c r="M1000" s="18"/>
      <c r="N1000" s="18"/>
      <c r="O1000" s="18"/>
      <c r="P1000" s="18"/>
      <c r="Q1000" s="31"/>
      <c r="R1000" s="18"/>
      <c r="S1000" s="18"/>
      <c r="T1000" s="18"/>
      <c r="U1000" s="18"/>
      <c r="V1000" s="18"/>
      <c r="W1000" s="18"/>
      <c r="X1000" s="18"/>
      <c r="Y1000" s="19"/>
    </row>
    <row r="1001" ht="15" customHeight="1">
      <c r="A1001" s="27"/>
      <c r="B1001" s="18"/>
      <c r="C1001" s="18"/>
      <c r="D1001" s="18"/>
      <c r="E1001" s="18"/>
      <c r="F1001" s="18"/>
      <c r="G1001" s="18"/>
      <c r="H1001" s="18"/>
      <c r="I1001" s="18"/>
      <c r="J1001" s="18"/>
      <c r="K1001" s="18"/>
      <c r="L1001" s="18"/>
      <c r="M1001" s="18"/>
      <c r="N1001" s="18"/>
      <c r="O1001" s="18"/>
      <c r="P1001" s="18"/>
      <c r="Q1001" s="31"/>
      <c r="R1001" s="18"/>
      <c r="S1001" s="18"/>
      <c r="T1001" s="18"/>
      <c r="U1001" s="18"/>
      <c r="V1001" s="18"/>
      <c r="W1001" s="18"/>
      <c r="X1001" s="18"/>
      <c r="Y1001" s="19"/>
    </row>
    <row r="1002" ht="15" customHeight="1">
      <c r="A1002" s="27"/>
      <c r="B1002" s="18"/>
      <c r="C1002" s="18"/>
      <c r="D1002" s="18"/>
      <c r="E1002" s="18"/>
      <c r="F1002" s="18"/>
      <c r="G1002" s="18"/>
      <c r="H1002" s="18"/>
      <c r="I1002" s="18"/>
      <c r="J1002" s="18"/>
      <c r="K1002" s="18"/>
      <c r="L1002" s="18"/>
      <c r="M1002" s="18"/>
      <c r="N1002" s="18"/>
      <c r="O1002" s="18"/>
      <c r="P1002" s="18"/>
      <c r="Q1002" s="31"/>
      <c r="R1002" s="18"/>
      <c r="S1002" s="18"/>
      <c r="T1002" s="18"/>
      <c r="U1002" s="18"/>
      <c r="V1002" s="18"/>
      <c r="W1002" s="18"/>
      <c r="X1002" s="18"/>
      <c r="Y1002" s="19"/>
    </row>
    <row r="1003" ht="15" customHeight="1">
      <c r="A1003" s="27"/>
      <c r="B1003" s="18"/>
      <c r="C1003" s="18"/>
      <c r="D1003" s="18"/>
      <c r="E1003" s="18"/>
      <c r="F1003" s="18"/>
      <c r="G1003" s="18"/>
      <c r="H1003" s="18"/>
      <c r="I1003" s="18"/>
      <c r="J1003" s="18"/>
      <c r="K1003" s="18"/>
      <c r="L1003" s="18"/>
      <c r="M1003" s="18"/>
      <c r="N1003" s="18"/>
      <c r="O1003" s="18"/>
      <c r="P1003" s="18"/>
      <c r="Q1003" s="31"/>
      <c r="R1003" s="18"/>
      <c r="S1003" s="18"/>
      <c r="T1003" s="18"/>
      <c r="U1003" s="18"/>
      <c r="V1003" s="18"/>
      <c r="W1003" s="18"/>
      <c r="X1003" s="18"/>
      <c r="Y1003" s="19"/>
    </row>
    <row r="1004" ht="15" customHeight="1">
      <c r="A1004" s="27"/>
      <c r="B1004" s="18"/>
      <c r="C1004" s="18"/>
      <c r="D1004" s="18"/>
      <c r="E1004" s="18"/>
      <c r="F1004" s="18"/>
      <c r="G1004" s="18"/>
      <c r="H1004" s="18"/>
      <c r="I1004" s="18"/>
      <c r="J1004" s="18"/>
      <c r="K1004" s="18"/>
      <c r="L1004" s="18"/>
      <c r="M1004" s="18"/>
      <c r="N1004" s="18"/>
      <c r="O1004" s="18"/>
      <c r="P1004" s="18"/>
      <c r="Q1004" s="31"/>
      <c r="R1004" s="18"/>
      <c r="S1004" s="18"/>
      <c r="T1004" s="18"/>
      <c r="U1004" s="18"/>
      <c r="V1004" s="18"/>
      <c r="W1004" s="18"/>
      <c r="X1004" s="18"/>
      <c r="Y1004" s="19"/>
    </row>
    <row r="1005" ht="15" customHeight="1">
      <c r="A1005" s="27"/>
      <c r="B1005" s="18"/>
      <c r="C1005" s="18"/>
      <c r="D1005" s="18"/>
      <c r="E1005" s="18"/>
      <c r="F1005" s="18"/>
      <c r="G1005" s="18"/>
      <c r="H1005" s="18"/>
      <c r="I1005" s="18"/>
      <c r="J1005" s="18"/>
      <c r="K1005" s="18"/>
      <c r="L1005" s="18"/>
      <c r="M1005" s="18"/>
      <c r="N1005" s="18"/>
      <c r="O1005" s="18"/>
      <c r="P1005" s="18"/>
      <c r="Q1005" s="31"/>
      <c r="R1005" s="18"/>
      <c r="S1005" s="18"/>
      <c r="T1005" s="18"/>
      <c r="U1005" s="18"/>
      <c r="V1005" s="18"/>
      <c r="W1005" s="18"/>
      <c r="X1005" s="18"/>
      <c r="Y1005" s="19"/>
    </row>
    <row r="1006" ht="15" customHeight="1">
      <c r="A1006" s="27"/>
      <c r="B1006" s="18"/>
      <c r="C1006" s="18"/>
      <c r="D1006" s="18"/>
      <c r="E1006" s="18"/>
      <c r="F1006" s="18"/>
      <c r="G1006" s="18"/>
      <c r="H1006" s="18"/>
      <c r="I1006" s="18"/>
      <c r="J1006" s="18"/>
      <c r="K1006" s="18"/>
      <c r="L1006" s="18"/>
      <c r="M1006" s="18"/>
      <c r="N1006" s="18"/>
      <c r="O1006" s="18"/>
      <c r="P1006" s="18"/>
      <c r="Q1006" s="31"/>
      <c r="R1006" s="18"/>
      <c r="S1006" s="18"/>
      <c r="T1006" s="18"/>
      <c r="U1006" s="18"/>
      <c r="V1006" s="18"/>
      <c r="W1006" s="18"/>
      <c r="X1006" s="18"/>
      <c r="Y1006" s="19"/>
    </row>
    <row r="1007" ht="15" customHeight="1">
      <c r="A1007" s="27"/>
      <c r="B1007" s="18"/>
      <c r="C1007" s="18"/>
      <c r="D1007" s="18"/>
      <c r="E1007" s="18"/>
      <c r="F1007" s="18"/>
      <c r="G1007" s="18"/>
      <c r="H1007" s="18"/>
      <c r="I1007" s="18"/>
      <c r="J1007" s="18"/>
      <c r="K1007" s="18"/>
      <c r="L1007" s="18"/>
      <c r="M1007" s="18"/>
      <c r="N1007" s="18"/>
      <c r="O1007" s="18"/>
      <c r="P1007" s="18"/>
      <c r="Q1007" s="31"/>
      <c r="R1007" s="18"/>
      <c r="S1007" s="18"/>
      <c r="T1007" s="18"/>
      <c r="U1007" s="18"/>
      <c r="V1007" s="18"/>
      <c r="W1007" s="18"/>
      <c r="X1007" s="18"/>
      <c r="Y1007" s="19"/>
    </row>
    <row r="1008" ht="15" customHeight="1">
      <c r="A1008" s="27"/>
      <c r="B1008" s="18"/>
      <c r="C1008" s="18"/>
      <c r="D1008" s="18"/>
      <c r="E1008" s="18"/>
      <c r="F1008" s="18"/>
      <c r="G1008" s="18"/>
      <c r="H1008" s="18"/>
      <c r="I1008" s="18"/>
      <c r="J1008" s="18"/>
      <c r="K1008" s="18"/>
      <c r="L1008" s="18"/>
      <c r="M1008" s="18"/>
      <c r="N1008" s="18"/>
      <c r="O1008" s="18"/>
      <c r="P1008" s="18"/>
      <c r="Q1008" s="31"/>
      <c r="R1008" s="18"/>
      <c r="S1008" s="18"/>
      <c r="T1008" s="18"/>
      <c r="U1008" s="18"/>
      <c r="V1008" s="18"/>
      <c r="W1008" s="18"/>
      <c r="X1008" s="18"/>
      <c r="Y1008" s="19"/>
    </row>
    <row r="1009" ht="15" customHeight="1">
      <c r="A1009" s="27"/>
      <c r="B1009" s="18"/>
      <c r="C1009" s="18"/>
      <c r="D1009" s="18"/>
      <c r="E1009" s="18"/>
      <c r="F1009" s="18"/>
      <c r="G1009" s="18"/>
      <c r="H1009" s="18"/>
      <c r="I1009" s="18"/>
      <c r="J1009" s="18"/>
      <c r="K1009" s="18"/>
      <c r="L1009" s="18"/>
      <c r="M1009" s="18"/>
      <c r="N1009" s="18"/>
      <c r="O1009" s="18"/>
      <c r="P1009" s="18"/>
      <c r="Q1009" s="31"/>
      <c r="R1009" s="18"/>
      <c r="S1009" s="18"/>
      <c r="T1009" s="18"/>
      <c r="U1009" s="18"/>
      <c r="V1009" s="18"/>
      <c r="W1009" s="18"/>
      <c r="X1009" s="18"/>
      <c r="Y1009" s="19"/>
    </row>
    <row r="1010" ht="15" customHeight="1">
      <c r="A1010" s="27"/>
      <c r="B1010" s="18"/>
      <c r="C1010" s="18"/>
      <c r="D1010" s="18"/>
      <c r="E1010" s="18"/>
      <c r="F1010" s="18"/>
      <c r="G1010" s="18"/>
      <c r="H1010" s="18"/>
      <c r="I1010" s="18"/>
      <c r="J1010" s="18"/>
      <c r="K1010" s="18"/>
      <c r="L1010" s="18"/>
      <c r="M1010" s="18"/>
      <c r="N1010" s="18"/>
      <c r="O1010" s="18"/>
      <c r="P1010" s="18"/>
      <c r="Q1010" s="31"/>
      <c r="R1010" s="18"/>
      <c r="S1010" s="18"/>
      <c r="T1010" s="18"/>
      <c r="U1010" s="18"/>
      <c r="V1010" s="18"/>
      <c r="W1010" s="18"/>
      <c r="X1010" s="18"/>
      <c r="Y1010" s="19"/>
    </row>
    <row r="1011" ht="15" customHeight="1">
      <c r="A1011" s="27"/>
      <c r="B1011" s="18"/>
      <c r="C1011" s="18"/>
      <c r="D1011" s="18"/>
      <c r="E1011" s="18"/>
      <c r="F1011" s="18"/>
      <c r="G1011" s="18"/>
      <c r="H1011" s="18"/>
      <c r="I1011" s="18"/>
      <c r="J1011" s="18"/>
      <c r="K1011" s="18"/>
      <c r="L1011" s="18"/>
      <c r="M1011" s="18"/>
      <c r="N1011" s="18"/>
      <c r="O1011" s="18"/>
      <c r="P1011" s="18"/>
      <c r="Q1011" s="31"/>
      <c r="R1011" s="18"/>
      <c r="S1011" s="18"/>
      <c r="T1011" s="18"/>
      <c r="U1011" s="18"/>
      <c r="V1011" s="18"/>
      <c r="W1011" s="18"/>
      <c r="X1011" s="18"/>
      <c r="Y1011" s="19"/>
    </row>
    <row r="1012" ht="15" customHeight="1">
      <c r="A1012" s="27"/>
      <c r="B1012" s="18"/>
      <c r="C1012" s="18"/>
      <c r="D1012" s="18"/>
      <c r="E1012" s="18"/>
      <c r="F1012" s="18"/>
      <c r="G1012" s="18"/>
      <c r="H1012" s="18"/>
      <c r="I1012" s="18"/>
      <c r="J1012" s="18"/>
      <c r="K1012" s="18"/>
      <c r="L1012" s="18"/>
      <c r="M1012" s="18"/>
      <c r="N1012" s="18"/>
      <c r="O1012" s="18"/>
      <c r="P1012" s="18"/>
      <c r="Q1012" s="31"/>
      <c r="R1012" s="18"/>
      <c r="S1012" s="18"/>
      <c r="T1012" s="18"/>
      <c r="U1012" s="18"/>
      <c r="V1012" s="18"/>
      <c r="W1012" s="18"/>
      <c r="X1012" s="18"/>
      <c r="Y1012" s="19"/>
    </row>
    <row r="1013" ht="15" customHeight="1">
      <c r="A1013" s="27"/>
      <c r="B1013" s="18"/>
      <c r="C1013" s="18"/>
      <c r="D1013" s="18"/>
      <c r="E1013" s="18"/>
      <c r="F1013" s="18"/>
      <c r="G1013" s="18"/>
      <c r="H1013" s="18"/>
      <c r="I1013" s="18"/>
      <c r="J1013" s="18"/>
      <c r="K1013" s="18"/>
      <c r="L1013" s="18"/>
      <c r="M1013" s="18"/>
      <c r="N1013" s="18"/>
      <c r="O1013" s="18"/>
      <c r="P1013" s="18"/>
      <c r="Q1013" s="31"/>
      <c r="R1013" s="18"/>
      <c r="S1013" s="18"/>
      <c r="T1013" s="18"/>
      <c r="U1013" s="18"/>
      <c r="V1013" s="18"/>
      <c r="W1013" s="18"/>
      <c r="X1013" s="18"/>
      <c r="Y1013" s="19"/>
    </row>
    <row r="1014" ht="15" customHeight="1">
      <c r="A1014" s="27"/>
      <c r="B1014" s="18"/>
      <c r="C1014" s="18"/>
      <c r="D1014" s="18"/>
      <c r="E1014" s="18"/>
      <c r="F1014" s="18"/>
      <c r="G1014" s="18"/>
      <c r="H1014" s="18"/>
      <c r="I1014" s="18"/>
      <c r="J1014" s="18"/>
      <c r="K1014" s="18"/>
      <c r="L1014" s="18"/>
      <c r="M1014" s="18"/>
      <c r="N1014" s="18"/>
      <c r="O1014" s="18"/>
      <c r="P1014" s="18"/>
      <c r="Q1014" s="31"/>
      <c r="R1014" s="18"/>
      <c r="S1014" s="18"/>
      <c r="T1014" s="18"/>
      <c r="U1014" s="18"/>
      <c r="V1014" s="18"/>
      <c r="W1014" s="18"/>
      <c r="X1014" s="18"/>
      <c r="Y1014" s="19"/>
    </row>
    <row r="1015" ht="15" customHeight="1">
      <c r="A1015" s="27"/>
      <c r="B1015" s="18"/>
      <c r="C1015" s="18"/>
      <c r="D1015" s="18"/>
      <c r="E1015" s="18"/>
      <c r="F1015" s="18"/>
      <c r="G1015" s="18"/>
      <c r="H1015" s="18"/>
      <c r="I1015" s="18"/>
      <c r="J1015" s="18"/>
      <c r="K1015" s="18"/>
      <c r="L1015" s="18"/>
      <c r="M1015" s="18"/>
      <c r="N1015" s="18"/>
      <c r="O1015" s="18"/>
      <c r="P1015" s="18"/>
      <c r="Q1015" s="31"/>
      <c r="R1015" s="18"/>
      <c r="S1015" s="18"/>
      <c r="T1015" s="18"/>
      <c r="U1015" s="18"/>
      <c r="V1015" s="18"/>
      <c r="W1015" s="18"/>
      <c r="X1015" s="18"/>
      <c r="Y1015" s="19"/>
    </row>
    <row r="1016" ht="15" customHeight="1">
      <c r="A1016" s="27"/>
      <c r="B1016" s="18"/>
      <c r="C1016" s="18"/>
      <c r="D1016" s="18"/>
      <c r="E1016" s="18"/>
      <c r="F1016" s="18"/>
      <c r="G1016" s="18"/>
      <c r="H1016" s="18"/>
      <c r="I1016" s="18"/>
      <c r="J1016" s="18"/>
      <c r="K1016" s="18"/>
      <c r="L1016" s="18"/>
      <c r="M1016" s="18"/>
      <c r="N1016" s="18"/>
      <c r="O1016" s="18"/>
      <c r="P1016" s="18"/>
      <c r="Q1016" s="31"/>
      <c r="R1016" s="18"/>
      <c r="S1016" s="18"/>
      <c r="T1016" s="18"/>
      <c r="U1016" s="18"/>
      <c r="V1016" s="18"/>
      <c r="W1016" s="18"/>
      <c r="X1016" s="18"/>
      <c r="Y1016" s="19"/>
    </row>
    <row r="1017" ht="15" customHeight="1">
      <c r="A1017" s="27"/>
      <c r="B1017" s="18"/>
      <c r="C1017" s="18"/>
      <c r="D1017" s="18"/>
      <c r="E1017" s="18"/>
      <c r="F1017" s="18"/>
      <c r="G1017" s="18"/>
      <c r="H1017" s="18"/>
      <c r="I1017" s="18"/>
      <c r="J1017" s="18"/>
      <c r="K1017" s="18"/>
      <c r="L1017" s="18"/>
      <c r="M1017" s="18"/>
      <c r="N1017" s="18"/>
      <c r="O1017" s="18"/>
      <c r="P1017" s="18"/>
      <c r="Q1017" s="31"/>
      <c r="R1017" s="18"/>
      <c r="S1017" s="18"/>
      <c r="T1017" s="18"/>
      <c r="U1017" s="18"/>
      <c r="V1017" s="18"/>
      <c r="W1017" s="18"/>
      <c r="X1017" s="18"/>
      <c r="Y1017" s="19"/>
    </row>
    <row r="1018" ht="15" customHeight="1">
      <c r="A1018" s="27"/>
      <c r="B1018" s="18"/>
      <c r="C1018" s="18"/>
      <c r="D1018" s="18"/>
      <c r="E1018" s="18"/>
      <c r="F1018" s="18"/>
      <c r="G1018" s="18"/>
      <c r="H1018" s="18"/>
      <c r="I1018" s="18"/>
      <c r="J1018" s="18"/>
      <c r="K1018" s="18"/>
      <c r="L1018" s="18"/>
      <c r="M1018" s="18"/>
      <c r="N1018" s="18"/>
      <c r="O1018" s="18"/>
      <c r="P1018" s="18"/>
      <c r="Q1018" s="31"/>
      <c r="R1018" s="18"/>
      <c r="S1018" s="18"/>
      <c r="T1018" s="18"/>
      <c r="U1018" s="18"/>
      <c r="V1018" s="18"/>
      <c r="W1018" s="18"/>
      <c r="X1018" s="18"/>
      <c r="Y1018" s="19"/>
    </row>
    <row r="1019" ht="15" customHeight="1">
      <c r="A1019" s="103"/>
      <c r="B1019" s="18"/>
      <c r="C1019" s="18"/>
      <c r="D1019" s="18"/>
      <c r="E1019" s="18"/>
      <c r="F1019" s="18"/>
      <c r="G1019" s="18"/>
      <c r="H1019" s="18"/>
      <c r="I1019" s="18"/>
      <c r="J1019" s="18"/>
      <c r="K1019" s="18"/>
      <c r="L1019" s="18"/>
      <c r="M1019" s="18"/>
      <c r="N1019" s="18"/>
      <c r="O1019" s="31"/>
      <c r="P1019" s="18"/>
      <c r="Q1019" s="31"/>
      <c r="R1019" s="31"/>
      <c r="S1019" s="31"/>
      <c r="T1019" s="31"/>
      <c r="U1019" s="31"/>
      <c r="V1019" s="31"/>
      <c r="W1019" s="31"/>
      <c r="X1019" s="31"/>
      <c r="Y1019" s="45"/>
    </row>
    <row r="1020" ht="15" customHeight="1">
      <c r="A1020" s="103"/>
      <c r="B1020" s="18"/>
      <c r="C1020" s="18"/>
      <c r="D1020" s="18"/>
      <c r="E1020" s="18"/>
      <c r="F1020" s="18"/>
      <c r="G1020" s="18"/>
      <c r="H1020" s="18"/>
      <c r="I1020" s="18"/>
      <c r="J1020" s="18"/>
      <c r="K1020" s="18"/>
      <c r="L1020" s="18"/>
      <c r="M1020" s="18"/>
      <c r="N1020" s="18"/>
      <c r="O1020" s="31"/>
      <c r="P1020" s="18"/>
      <c r="Q1020" s="31"/>
      <c r="R1020" s="31"/>
      <c r="S1020" s="31"/>
      <c r="T1020" s="31"/>
      <c r="U1020" s="31"/>
      <c r="V1020" s="31"/>
      <c r="W1020" s="31"/>
      <c r="X1020" s="31"/>
      <c r="Y1020" s="45"/>
    </row>
    <row r="1021" ht="15" customHeight="1">
      <c r="A1021" s="103"/>
      <c r="B1021" s="18"/>
      <c r="C1021" s="18"/>
      <c r="D1021" s="18"/>
      <c r="E1021" s="18"/>
      <c r="F1021" s="18"/>
      <c r="G1021" s="18"/>
      <c r="H1021" s="18"/>
      <c r="I1021" s="18"/>
      <c r="J1021" s="18"/>
      <c r="K1021" s="18"/>
      <c r="L1021" s="18"/>
      <c r="M1021" s="18"/>
      <c r="N1021" s="18"/>
      <c r="O1021" s="31"/>
      <c r="P1021" s="18"/>
      <c r="Q1021" s="31"/>
      <c r="R1021" s="31"/>
      <c r="S1021" s="31"/>
      <c r="T1021" s="31"/>
      <c r="U1021" s="31"/>
      <c r="V1021" s="31"/>
      <c r="W1021" s="31"/>
      <c r="X1021" s="31"/>
      <c r="Y1021" s="45"/>
    </row>
    <row r="1022" ht="15" customHeight="1">
      <c r="A1022" s="103"/>
      <c r="B1022" s="18"/>
      <c r="C1022" s="18"/>
      <c r="D1022" s="18"/>
      <c r="E1022" s="18"/>
      <c r="F1022" s="18"/>
      <c r="G1022" s="18"/>
      <c r="H1022" s="18"/>
      <c r="I1022" s="18"/>
      <c r="J1022" s="18"/>
      <c r="K1022" s="18"/>
      <c r="L1022" s="18"/>
      <c r="M1022" s="18"/>
      <c r="N1022" s="18"/>
      <c r="O1022" s="31"/>
      <c r="P1022" s="18"/>
      <c r="Q1022" s="31"/>
      <c r="R1022" s="31"/>
      <c r="S1022" s="31"/>
      <c r="T1022" s="31"/>
      <c r="U1022" s="31"/>
      <c r="V1022" s="31"/>
      <c r="W1022" s="31"/>
      <c r="X1022" s="31"/>
      <c r="Y1022" s="45"/>
    </row>
    <row r="1023" ht="15" customHeight="1">
      <c r="A1023" s="103"/>
      <c r="B1023" s="18"/>
      <c r="C1023" s="18"/>
      <c r="D1023" s="18"/>
      <c r="E1023" s="18"/>
      <c r="F1023" s="18"/>
      <c r="G1023" s="18"/>
      <c r="H1023" s="18"/>
      <c r="I1023" s="18"/>
      <c r="J1023" s="18"/>
      <c r="K1023" s="18"/>
      <c r="L1023" s="18"/>
      <c r="M1023" s="18"/>
      <c r="N1023" s="18"/>
      <c r="O1023" s="31"/>
      <c r="P1023" s="18"/>
      <c r="Q1023" s="31"/>
      <c r="R1023" s="31"/>
      <c r="S1023" s="31"/>
      <c r="T1023" s="31"/>
      <c r="U1023" s="31"/>
      <c r="V1023" s="31"/>
      <c r="W1023" s="31"/>
      <c r="X1023" s="31"/>
      <c r="Y1023" s="45"/>
    </row>
    <row r="1024" ht="15" customHeight="1">
      <c r="A1024" s="103"/>
      <c r="B1024" s="18"/>
      <c r="C1024" s="18"/>
      <c r="D1024" s="18"/>
      <c r="E1024" s="18"/>
      <c r="F1024" s="18"/>
      <c r="G1024" s="18"/>
      <c r="H1024" s="18"/>
      <c r="I1024" s="18"/>
      <c r="J1024" s="18"/>
      <c r="K1024" s="18"/>
      <c r="L1024" s="18"/>
      <c r="M1024" s="18"/>
      <c r="N1024" s="18"/>
      <c r="O1024" s="31"/>
      <c r="P1024" s="18"/>
      <c r="Q1024" s="31"/>
      <c r="R1024" s="31"/>
      <c r="S1024" s="31"/>
      <c r="T1024" s="31"/>
      <c r="U1024" s="31"/>
      <c r="V1024" s="31"/>
      <c r="W1024" s="31"/>
      <c r="X1024" s="31"/>
      <c r="Y1024" s="45"/>
    </row>
    <row r="1025" ht="15" customHeight="1">
      <c r="A1025" s="103"/>
      <c r="B1025" s="18"/>
      <c r="C1025" s="18"/>
      <c r="D1025" s="18"/>
      <c r="E1025" s="18"/>
      <c r="F1025" s="18"/>
      <c r="G1025" s="18"/>
      <c r="H1025" s="18"/>
      <c r="I1025" s="18"/>
      <c r="J1025" s="18"/>
      <c r="K1025" s="18"/>
      <c r="L1025" s="18"/>
      <c r="M1025" s="18"/>
      <c r="N1025" s="18"/>
      <c r="O1025" s="31"/>
      <c r="P1025" s="18"/>
      <c r="Q1025" s="31"/>
      <c r="R1025" s="31"/>
      <c r="S1025" s="31"/>
      <c r="T1025" s="31"/>
      <c r="U1025" s="31"/>
      <c r="V1025" s="31"/>
      <c r="W1025" s="31"/>
      <c r="X1025" s="31"/>
      <c r="Y1025" s="45"/>
    </row>
    <row r="1026" ht="15" customHeight="1">
      <c r="A1026" s="103"/>
      <c r="B1026" s="18"/>
      <c r="C1026" s="18"/>
      <c r="D1026" s="18"/>
      <c r="E1026" s="18"/>
      <c r="F1026" s="18"/>
      <c r="G1026" s="18"/>
      <c r="H1026" s="18"/>
      <c r="I1026" s="18"/>
      <c r="J1026" s="18"/>
      <c r="K1026" s="18"/>
      <c r="L1026" s="18"/>
      <c r="M1026" s="18"/>
      <c r="N1026" s="18"/>
      <c r="O1026" s="31"/>
      <c r="P1026" s="18"/>
      <c r="Q1026" s="31"/>
      <c r="R1026" s="31"/>
      <c r="S1026" s="31"/>
      <c r="T1026" s="31"/>
      <c r="U1026" s="31"/>
      <c r="V1026" s="31"/>
      <c r="W1026" s="31"/>
      <c r="X1026" s="31"/>
      <c r="Y1026" s="45"/>
    </row>
    <row r="1027" ht="15" customHeight="1">
      <c r="A1027" s="103"/>
      <c r="B1027" s="18"/>
      <c r="C1027" s="18"/>
      <c r="D1027" s="18"/>
      <c r="E1027" s="18"/>
      <c r="F1027" s="18"/>
      <c r="G1027" s="18"/>
      <c r="H1027" s="18"/>
      <c r="I1027" s="18"/>
      <c r="J1027" s="18"/>
      <c r="K1027" s="18"/>
      <c r="L1027" s="18"/>
      <c r="M1027" s="18"/>
      <c r="N1027" s="18"/>
      <c r="O1027" s="31"/>
      <c r="P1027" s="18"/>
      <c r="Q1027" s="31"/>
      <c r="R1027" s="31"/>
      <c r="S1027" s="31"/>
      <c r="T1027" s="31"/>
      <c r="U1027" s="31"/>
      <c r="V1027" s="31"/>
      <c r="W1027" s="31"/>
      <c r="X1027" s="31"/>
      <c r="Y1027" s="45"/>
    </row>
    <row r="1028" ht="15" customHeight="1">
      <c r="A1028" s="103"/>
      <c r="B1028" s="18"/>
      <c r="C1028" s="18"/>
      <c r="D1028" s="18"/>
      <c r="E1028" s="18"/>
      <c r="F1028" s="18"/>
      <c r="G1028" s="18"/>
      <c r="H1028" s="18"/>
      <c r="I1028" s="18"/>
      <c r="J1028" s="18"/>
      <c r="K1028" s="18"/>
      <c r="L1028" s="18"/>
      <c r="M1028" s="18"/>
      <c r="N1028" s="18"/>
      <c r="O1028" s="31"/>
      <c r="P1028" s="18"/>
      <c r="Q1028" s="31"/>
      <c r="R1028" s="31"/>
      <c r="S1028" s="31"/>
      <c r="T1028" s="31"/>
      <c r="U1028" s="31"/>
      <c r="V1028" s="31"/>
      <c r="W1028" s="31"/>
      <c r="X1028" s="31"/>
      <c r="Y1028" s="45"/>
    </row>
    <row r="1029" ht="15" customHeight="1">
      <c r="A1029" s="103"/>
      <c r="B1029" s="18"/>
      <c r="C1029" s="18"/>
      <c r="D1029" s="18"/>
      <c r="E1029" s="18"/>
      <c r="F1029" s="18"/>
      <c r="G1029" s="18"/>
      <c r="H1029" s="18"/>
      <c r="I1029" s="18"/>
      <c r="J1029" s="18"/>
      <c r="K1029" s="18"/>
      <c r="L1029" s="18"/>
      <c r="M1029" s="18"/>
      <c r="N1029" s="18"/>
      <c r="O1029" s="31"/>
      <c r="P1029" s="18"/>
      <c r="Q1029" s="31"/>
      <c r="R1029" s="31"/>
      <c r="S1029" s="31"/>
      <c r="T1029" s="31"/>
      <c r="U1029" s="31"/>
      <c r="V1029" s="31"/>
      <c r="W1029" s="31"/>
      <c r="X1029" s="31"/>
      <c r="Y1029" s="45"/>
    </row>
    <row r="1030" ht="15" customHeight="1">
      <c r="A1030" s="103"/>
      <c r="B1030" s="18"/>
      <c r="C1030" s="18"/>
      <c r="D1030" s="18"/>
      <c r="E1030" s="18"/>
      <c r="F1030" s="18"/>
      <c r="G1030" s="18"/>
      <c r="H1030" s="18"/>
      <c r="I1030" s="18"/>
      <c r="J1030" s="18"/>
      <c r="K1030" s="18"/>
      <c r="L1030" s="18"/>
      <c r="M1030" s="18"/>
      <c r="N1030" s="18"/>
      <c r="O1030" s="31"/>
      <c r="P1030" s="18"/>
      <c r="Q1030" s="31"/>
      <c r="R1030" s="31"/>
      <c r="S1030" s="31"/>
      <c r="T1030" s="31"/>
      <c r="U1030" s="31"/>
      <c r="V1030" s="31"/>
      <c r="W1030" s="31"/>
      <c r="X1030" s="31"/>
      <c r="Y1030" s="45"/>
    </row>
    <row r="1031" ht="15" customHeight="1">
      <c r="A1031" s="103"/>
      <c r="B1031" s="18"/>
      <c r="C1031" s="18"/>
      <c r="D1031" s="18"/>
      <c r="E1031" s="18"/>
      <c r="F1031" s="18"/>
      <c r="G1031" s="18"/>
      <c r="H1031" s="18"/>
      <c r="I1031" s="18"/>
      <c r="J1031" s="18"/>
      <c r="K1031" s="18"/>
      <c r="L1031" s="18"/>
      <c r="M1031" s="18"/>
      <c r="N1031" s="18"/>
      <c r="O1031" s="31"/>
      <c r="P1031" s="18"/>
      <c r="Q1031" s="31"/>
      <c r="R1031" s="31"/>
      <c r="S1031" s="31"/>
      <c r="T1031" s="31"/>
      <c r="U1031" s="31"/>
      <c r="V1031" s="31"/>
      <c r="W1031" s="31"/>
      <c r="X1031" s="31"/>
      <c r="Y1031" s="45"/>
    </row>
    <row r="1032" ht="15" customHeight="1">
      <c r="A1032" s="103"/>
      <c r="B1032" s="18"/>
      <c r="C1032" s="18"/>
      <c r="D1032" s="18"/>
      <c r="E1032" s="18"/>
      <c r="F1032" s="18"/>
      <c r="G1032" s="18"/>
      <c r="H1032" s="18"/>
      <c r="I1032" s="18"/>
      <c r="J1032" s="18"/>
      <c r="K1032" s="18"/>
      <c r="L1032" s="18"/>
      <c r="M1032" s="18"/>
      <c r="N1032" s="18"/>
      <c r="O1032" s="31"/>
      <c r="P1032" s="18"/>
      <c r="Q1032" s="31"/>
      <c r="R1032" s="31"/>
      <c r="S1032" s="31"/>
      <c r="T1032" s="31"/>
      <c r="U1032" s="31"/>
      <c r="V1032" s="31"/>
      <c r="W1032" s="31"/>
      <c r="X1032" s="31"/>
      <c r="Y1032" s="45"/>
    </row>
    <row r="1033" ht="15" customHeight="1">
      <c r="A1033" s="103"/>
      <c r="B1033" s="18"/>
      <c r="C1033" s="18"/>
      <c r="D1033" s="18"/>
      <c r="E1033" s="18"/>
      <c r="F1033" s="18"/>
      <c r="G1033" s="18"/>
      <c r="H1033" s="18"/>
      <c r="I1033" s="18"/>
      <c r="J1033" s="18"/>
      <c r="K1033" s="18"/>
      <c r="L1033" s="18"/>
      <c r="M1033" s="18"/>
      <c r="N1033" s="18"/>
      <c r="O1033" s="31"/>
      <c r="P1033" s="18"/>
      <c r="Q1033" s="31"/>
      <c r="R1033" s="31"/>
      <c r="S1033" s="31"/>
      <c r="T1033" s="31"/>
      <c r="U1033" s="31"/>
      <c r="V1033" s="31"/>
      <c r="W1033" s="31"/>
      <c r="X1033" s="31"/>
      <c r="Y1033" s="45"/>
    </row>
    <row r="1034" ht="15" customHeight="1">
      <c r="A1034" s="103"/>
      <c r="B1034" s="18"/>
      <c r="C1034" s="18"/>
      <c r="D1034" s="18"/>
      <c r="E1034" s="18"/>
      <c r="F1034" s="18"/>
      <c r="G1034" s="18"/>
      <c r="H1034" s="18"/>
      <c r="I1034" s="18"/>
      <c r="J1034" s="18"/>
      <c r="K1034" s="18"/>
      <c r="L1034" s="18"/>
      <c r="M1034" s="18"/>
      <c r="N1034" s="18"/>
      <c r="O1034" s="31"/>
      <c r="P1034" s="18"/>
      <c r="Q1034" s="31"/>
      <c r="R1034" s="31"/>
      <c r="S1034" s="31"/>
      <c r="T1034" s="31"/>
      <c r="U1034" s="31"/>
      <c r="V1034" s="31"/>
      <c r="W1034" s="31"/>
      <c r="X1034" s="31"/>
      <c r="Y1034" s="45"/>
    </row>
    <row r="1035" ht="15" customHeight="1">
      <c r="A1035" s="103"/>
      <c r="B1035" s="18"/>
      <c r="C1035" s="18"/>
      <c r="D1035" s="18"/>
      <c r="E1035" s="18"/>
      <c r="F1035" s="18"/>
      <c r="G1035" s="18"/>
      <c r="H1035" s="18"/>
      <c r="I1035" s="18"/>
      <c r="J1035" s="18"/>
      <c r="K1035" s="18"/>
      <c r="L1035" s="18"/>
      <c r="M1035" s="18"/>
      <c r="N1035" s="18"/>
      <c r="O1035" s="31"/>
      <c r="P1035" s="18"/>
      <c r="Q1035" s="31"/>
      <c r="R1035" s="31"/>
      <c r="S1035" s="31"/>
      <c r="T1035" s="31"/>
      <c r="U1035" s="31"/>
      <c r="V1035" s="31"/>
      <c r="W1035" s="31"/>
      <c r="X1035" s="31"/>
      <c r="Y1035" s="45"/>
    </row>
    <row r="1036" ht="15" customHeight="1">
      <c r="A1036" s="103"/>
      <c r="B1036" s="18"/>
      <c r="C1036" s="18"/>
      <c r="D1036" s="18"/>
      <c r="E1036" s="18"/>
      <c r="F1036" s="18"/>
      <c r="G1036" s="18"/>
      <c r="H1036" s="18"/>
      <c r="I1036" s="18"/>
      <c r="J1036" s="18"/>
      <c r="K1036" s="18"/>
      <c r="L1036" s="18"/>
      <c r="M1036" s="18"/>
      <c r="N1036" s="18"/>
      <c r="O1036" s="31"/>
      <c r="P1036" s="18"/>
      <c r="Q1036" s="31"/>
      <c r="R1036" s="31"/>
      <c r="S1036" s="31"/>
      <c r="T1036" s="31"/>
      <c r="U1036" s="31"/>
      <c r="V1036" s="31"/>
      <c r="W1036" s="31"/>
      <c r="X1036" s="31"/>
      <c r="Y1036" s="45"/>
    </row>
    <row r="1037" ht="15" customHeight="1">
      <c r="A1037" s="103"/>
      <c r="B1037" s="18"/>
      <c r="C1037" s="18"/>
      <c r="D1037" s="18"/>
      <c r="E1037" s="18"/>
      <c r="F1037" s="18"/>
      <c r="G1037" s="18"/>
      <c r="H1037" s="18"/>
      <c r="I1037" s="18"/>
      <c r="J1037" s="18"/>
      <c r="K1037" s="18"/>
      <c r="L1037" s="18"/>
      <c r="M1037" s="18"/>
      <c r="N1037" s="18"/>
      <c r="O1037" s="31"/>
      <c r="P1037" s="18"/>
      <c r="Q1037" s="31"/>
      <c r="R1037" s="31"/>
      <c r="S1037" s="31"/>
      <c r="T1037" s="31"/>
      <c r="U1037" s="31"/>
      <c r="V1037" s="31"/>
      <c r="W1037" s="31"/>
      <c r="X1037" s="31"/>
      <c r="Y1037" s="45"/>
    </row>
    <row r="1038" ht="15" customHeight="1">
      <c r="A1038" s="103"/>
      <c r="B1038" s="18"/>
      <c r="C1038" s="18"/>
      <c r="D1038" s="18"/>
      <c r="E1038" s="18"/>
      <c r="F1038" s="18"/>
      <c r="G1038" s="18"/>
      <c r="H1038" s="18"/>
      <c r="I1038" s="18"/>
      <c r="J1038" s="18"/>
      <c r="K1038" s="18"/>
      <c r="L1038" s="18"/>
      <c r="M1038" s="18"/>
      <c r="N1038" s="18"/>
      <c r="O1038" s="31"/>
      <c r="P1038" s="18"/>
      <c r="Q1038" s="31"/>
      <c r="R1038" s="31"/>
      <c r="S1038" s="31"/>
      <c r="T1038" s="31"/>
      <c r="U1038" s="31"/>
      <c r="V1038" s="31"/>
      <c r="W1038" s="31"/>
      <c r="X1038" s="31"/>
      <c r="Y1038" s="45"/>
    </row>
    <row r="1039" ht="15" customHeight="1">
      <c r="A1039" s="103"/>
      <c r="B1039" s="18"/>
      <c r="C1039" s="18"/>
      <c r="D1039" s="18"/>
      <c r="E1039" s="18"/>
      <c r="F1039" s="18"/>
      <c r="G1039" s="18"/>
      <c r="H1039" s="18"/>
      <c r="I1039" s="18"/>
      <c r="J1039" s="18"/>
      <c r="K1039" s="18"/>
      <c r="L1039" s="18"/>
      <c r="M1039" s="18"/>
      <c r="N1039" s="18"/>
      <c r="O1039" s="31"/>
      <c r="P1039" s="18"/>
      <c r="Q1039" s="31"/>
      <c r="R1039" s="31"/>
      <c r="S1039" s="31"/>
      <c r="T1039" s="31"/>
      <c r="U1039" s="31"/>
      <c r="V1039" s="31"/>
      <c r="W1039" s="31"/>
      <c r="X1039" s="31"/>
      <c r="Y1039" s="45"/>
    </row>
    <row r="1040" ht="15" customHeight="1">
      <c r="A1040" s="104"/>
      <c r="B1040" s="105"/>
      <c r="C1040" s="105"/>
      <c r="D1040" s="105"/>
      <c r="E1040" s="105"/>
      <c r="F1040" s="105"/>
      <c r="G1040" s="105"/>
      <c r="H1040" s="105"/>
      <c r="I1040" s="105"/>
      <c r="J1040" s="105"/>
      <c r="K1040" s="105"/>
      <c r="L1040" s="105"/>
      <c r="M1040" s="105"/>
      <c r="N1040" s="105"/>
      <c r="O1040" s="106"/>
      <c r="P1040" s="105"/>
      <c r="Q1040" s="106"/>
      <c r="R1040" s="106"/>
      <c r="S1040" s="106"/>
      <c r="T1040" s="106"/>
      <c r="U1040" s="106"/>
      <c r="V1040" s="106"/>
      <c r="W1040" s="106"/>
      <c r="X1040" s="106"/>
      <c r="Y1040" s="107"/>
    </row>
  </sheetData>
  <mergeCells count="4">
    <mergeCell ref="B2:C2"/>
    <mergeCell ref="B3:C3"/>
    <mergeCell ref="B5:C5"/>
    <mergeCell ref="B6:C6"/>
  </mergeCells>
  <conditionalFormatting sqref="C9:C11 C14:C22 C25:C28 C30:C32 C34:C44 C46:C52 C54:C61 C63:C82 C84:C90 C92:C98">
    <cfRule type="cellIs" dxfId="4" priority="1" operator="lessThan" stopIfTrue="1">
      <formula>0</formula>
    </cfRule>
  </conditionalFormatting>
  <pageMargins left="0.3" right="0.3" top="0.3" bottom="0.3" header="0" footer="0"/>
  <pageSetup firstPageNumber="1" fitToHeight="1" fitToWidth="1" scale="100" useFirstPageNumber="0" orientation="portrait" pageOrder="downThenOver"/>
  <headerFooter>
    <oddFooter>&amp;C&amp;"Helvetica Neue,Regular"&amp;11&amp;K000000&amp;P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